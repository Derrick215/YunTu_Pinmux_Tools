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aLu.Feng\learn\yuntu_mcu_doc\YTM32B1ME1\Hardware Development Doc\"/>
    </mc:Choice>
  </mc:AlternateContent>
  <xr:revisionPtr revIDLastSave="0" documentId="13_ncr:1_{D7A3D051-138F-47D9-BAB6-39D0F4AFEC91}" xr6:coauthVersionLast="47" xr6:coauthVersionMax="47" xr10:uidLastSave="{00000000-0000-0000-0000-000000000000}"/>
  <bookViews>
    <workbookView xWindow="-5175" yWindow="-21720" windowWidth="38640" windowHeight="21120" xr2:uid="{00000000-000D-0000-FFFF-FFFF00000000}"/>
  </bookViews>
  <sheets>
    <sheet name="IOMUX" sheetId="1" r:id="rId1"/>
    <sheet name="Peripheral-associated PINs" sheetId="20" r:id="rId2"/>
    <sheet name="Version" sheetId="19" r:id="rId3"/>
  </sheets>
  <definedNames>
    <definedName name="_xlnm._FilterDatabase" localSheetId="0" hidden="1">IOMUX!$A$1:$U$145</definedName>
    <definedName name="_xlnm._FilterDatabase" localSheetId="1" hidden="1">'Peripheral-associated PINs'!$A$1:$G$606</definedName>
  </definedNames>
  <calcPr calcId="181029"/>
</workbook>
</file>

<file path=xl/calcChain.xml><?xml version="1.0" encoding="utf-8"?>
<calcChain xmlns="http://schemas.openxmlformats.org/spreadsheetml/2006/main">
  <c r="E145" i="1" l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<sst xmlns="http://schemas.openxmlformats.org/spreadsheetml/2006/main" count="4067" uniqueCount="905">
  <si>
    <t>ID</t>
  </si>
  <si>
    <t>64LQFP</t>
  </si>
  <si>
    <t>100LQFP</t>
  </si>
  <si>
    <t>144LQFP</t>
  </si>
  <si>
    <t>PACKAGE</t>
  </si>
  <si>
    <t>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</si>
  <si>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</si>
  <si>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</si>
  <si>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</si>
  <si>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</si>
  <si>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</si>
  <si>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</si>
  <si>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</si>
  <si>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</si>
  <si>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</si>
  <si>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WKU</t>
  </si>
  <si>
    <t>Default State</t>
  </si>
  <si>
    <t>PTE_16</t>
  </si>
  <si>
    <t>UART1_RTS</t>
  </si>
  <si>
    <t>SPI2_SIN</t>
  </si>
  <si>
    <t>eTMR2_CH7</t>
  </si>
  <si>
    <t>TMU_OUT7</t>
  </si>
  <si>
    <t>Tri-State Input</t>
  </si>
  <si>
    <t>PTE_15</t>
  </si>
  <si>
    <t>UART1_CTS</t>
  </si>
  <si>
    <t>SPI2_SCK</t>
  </si>
  <si>
    <t>eTMR2_CH6</t>
  </si>
  <si>
    <t>TMU_OUT6</t>
  </si>
  <si>
    <t>VDD12</t>
  </si>
  <si>
    <t>PTD_0</t>
  </si>
  <si>
    <t>eTMR0_CH2</t>
  </si>
  <si>
    <t>SPI1_SCK</t>
  </si>
  <si>
    <t>eTMR2_CH0</t>
  </si>
  <si>
    <t>ETM_TRACE_D0</t>
  </si>
  <si>
    <t>TMU_OUT1</t>
  </si>
  <si>
    <t>PTE_11</t>
  </si>
  <si>
    <t>SPI2_PCS0</t>
  </si>
  <si>
    <t>LPTMR0_ALT1</t>
  </si>
  <si>
    <t>eTMR2_CH5</t>
  </si>
  <si>
    <t>UART3_TX</t>
  </si>
  <si>
    <t>TMU_OUT5</t>
  </si>
  <si>
    <t>wku_ind[0]</t>
  </si>
  <si>
    <t>PTE_10</t>
  </si>
  <si>
    <t>SCU_CLKOUT</t>
  </si>
  <si>
    <t>SPI2_PCS1</t>
  </si>
  <si>
    <t>eTMR2_CH4</t>
  </si>
  <si>
    <t>UART3_RX</t>
  </si>
  <si>
    <t>TMU_OUT4</t>
  </si>
  <si>
    <t>wku_ind[1]</t>
  </si>
  <si>
    <t>PTE_13</t>
  </si>
  <si>
    <t>MPWM0_CH5</t>
  </si>
  <si>
    <t>SPI2_PCS2</t>
  </si>
  <si>
    <t>eTMR2_FLT0</t>
  </si>
  <si>
    <t>MPWM0_CH10</t>
  </si>
  <si>
    <t>PTE_5</t>
  </si>
  <si>
    <t>TCLK_IN2</t>
  </si>
  <si>
    <t>eTMR2_QD_PHA</t>
  </si>
  <si>
    <t>eTMR2_CH3</t>
  </si>
  <si>
    <t>CAN0_TX</t>
  </si>
  <si>
    <t>EWDG_IN</t>
  </si>
  <si>
    <t>wku_ind[2]</t>
  </si>
  <si>
    <t>PTE_4</t>
  </si>
  <si>
    <t>ETM_TRACE_D1</t>
  </si>
  <si>
    <t>eTMR2_QD_PHB</t>
  </si>
  <si>
    <t>eTMR2_CH2</t>
  </si>
  <si>
    <t>CAN0_RX</t>
  </si>
  <si>
    <t>EWDG_OUT_b</t>
  </si>
  <si>
    <t>wku_ind[3]</t>
  </si>
  <si>
    <t>PTA_25</t>
  </si>
  <si>
    <t>MPWM0_CH8</t>
  </si>
  <si>
    <t>VDD</t>
  </si>
  <si>
    <t>VSS</t>
  </si>
  <si>
    <t>VDDA</t>
  </si>
  <si>
    <t>VREFH</t>
  </si>
  <si>
    <t>VREFL</t>
  </si>
  <si>
    <t>PTB_7</t>
  </si>
  <si>
    <t>EXTAL</t>
  </si>
  <si>
    <t>I2C0_SCL</t>
  </si>
  <si>
    <t>SPI3_SCK</t>
  </si>
  <si>
    <t>TMU_OUT2</t>
  </si>
  <si>
    <t>PTB_6</t>
  </si>
  <si>
    <t>XTAL</t>
  </si>
  <si>
    <t>I2C0_SDA</t>
  </si>
  <si>
    <t>SPI3_SIN</t>
  </si>
  <si>
    <t>PTA_26</t>
  </si>
  <si>
    <t>MPWM0_CH9</t>
  </si>
  <si>
    <t>SPI1_PCS0</t>
  </si>
  <si>
    <t>SPI0_PCS0</t>
  </si>
  <si>
    <t>PTE_14</t>
  </si>
  <si>
    <t>eTMR0_FLT1</t>
  </si>
  <si>
    <t>eTMR2_FLT1</t>
  </si>
  <si>
    <t>PTE_3</t>
  </si>
  <si>
    <t>eTMR0_FLT0</t>
  </si>
  <si>
    <t>SPI1_SIN</t>
  </si>
  <si>
    <t>SPI3_SOUT</t>
  </si>
  <si>
    <t>TMU_IN6</t>
  </si>
  <si>
    <t>CMP0_OUT</t>
  </si>
  <si>
    <t>wku_ind[4]</t>
  </si>
  <si>
    <t>PTA_27</t>
  </si>
  <si>
    <t>SPI1_SOUT</t>
  </si>
  <si>
    <t>UART0_TX</t>
  </si>
  <si>
    <t>PTE_12</t>
  </si>
  <si>
    <t>eTMR0_FLT3</t>
  </si>
  <si>
    <t>UART2_TX</t>
  </si>
  <si>
    <t>SPI3_PCS0</t>
  </si>
  <si>
    <t>eTMR3_CH5</t>
  </si>
  <si>
    <t>UART2_RTS</t>
  </si>
  <si>
    <t>PTA_28</t>
  </si>
  <si>
    <t>MPWM0_CH11</t>
  </si>
  <si>
    <t>UART0_RX</t>
  </si>
  <si>
    <t>PTD_17</t>
  </si>
  <si>
    <t>eTMR0_FLT2</t>
  </si>
  <si>
    <t>UART2_RX</t>
  </si>
  <si>
    <t>PTA_29</t>
  </si>
  <si>
    <t>MPWM0_CH12</t>
  </si>
  <si>
    <t>PTA_30</t>
  </si>
  <si>
    <t>MPWM0_CH13</t>
  </si>
  <si>
    <t>SPI0_SOUT</t>
  </si>
  <si>
    <t>PTD_16</t>
  </si>
  <si>
    <t>EXTAL32</t>
  </si>
  <si>
    <t>eTMR0_CH1</t>
  </si>
  <si>
    <t>SPI0_SIN</t>
  </si>
  <si>
    <t>CMP0_ACTIVE</t>
  </si>
  <si>
    <t>ETM_TRACE_D2</t>
  </si>
  <si>
    <t>ETM_TRACE_CLKOUT</t>
  </si>
  <si>
    <t>PTD_15</t>
  </si>
  <si>
    <t>XTAL32</t>
  </si>
  <si>
    <t>eTMR0_CH0</t>
  </si>
  <si>
    <t>SPI0_SCK</t>
  </si>
  <si>
    <t>ETM_TRACE_D3</t>
  </si>
  <si>
    <t>PTE_9</t>
  </si>
  <si>
    <t>eTMR0_CH7</t>
  </si>
  <si>
    <t>I2C2_SDA</t>
  </si>
  <si>
    <t>UART2_CTS</t>
  </si>
  <si>
    <t>wku_ind[7]</t>
  </si>
  <si>
    <t>PTA_31</t>
  </si>
  <si>
    <t>MPWM0_CH14</t>
  </si>
  <si>
    <t>SPI0_PCS1</t>
  </si>
  <si>
    <t>MPWM0_CH4</t>
  </si>
  <si>
    <t>PTD_14</t>
  </si>
  <si>
    <t>UART1_TX</t>
  </si>
  <si>
    <t>SPI5_PCS3</t>
  </si>
  <si>
    <t>PTD_13</t>
  </si>
  <si>
    <t>UART1_RX</t>
  </si>
  <si>
    <t>SPI5_PCS2</t>
  </si>
  <si>
    <t>RTC_CLKOUT</t>
  </si>
  <si>
    <t>PTB_18</t>
  </si>
  <si>
    <t>ADC0_S16</t>
  </si>
  <si>
    <t>MPWM0_CH15</t>
  </si>
  <si>
    <t>SPI1_PCS1</t>
  </si>
  <si>
    <t>MPWM0_CH6</t>
  </si>
  <si>
    <t>PTB_20</t>
  </si>
  <si>
    <t>ADC0_S17</t>
  </si>
  <si>
    <t>I2C1_SDA</t>
  </si>
  <si>
    <t>PTB_21</t>
  </si>
  <si>
    <t>ADC0_S18</t>
  </si>
  <si>
    <t>I2C1_SCL</t>
  </si>
  <si>
    <t>PTE_8</t>
  </si>
  <si>
    <t>CMP0_IN3</t>
  </si>
  <si>
    <t>eTMR0_CH6</t>
  </si>
  <si>
    <t>I2C2_SCL</t>
  </si>
  <si>
    <t>SPI3_PCS1</t>
  </si>
  <si>
    <t>SENT0_RX_IN0</t>
  </si>
  <si>
    <t>wku_ind[8]</t>
  </si>
  <si>
    <t>PTB_5</t>
  </si>
  <si>
    <t>eTMR0_CH5</t>
  </si>
  <si>
    <t>TMU_IN0</t>
  </si>
  <si>
    <t>SENT0_RX_IN1</t>
  </si>
  <si>
    <t>PTB_4</t>
  </si>
  <si>
    <t>eTMR0_CH4</t>
  </si>
  <si>
    <t>TMU_IN1</t>
  </si>
  <si>
    <t>PTC_3</t>
  </si>
  <si>
    <t>ADC0_S11/CMP0_IN4</t>
  </si>
  <si>
    <t>eTMR0_CH3</t>
  </si>
  <si>
    <t>SPI4_PCS0</t>
  </si>
  <si>
    <t>wku_ind[9]</t>
  </si>
  <si>
    <t>PTC_2</t>
  </si>
  <si>
    <t>ADC0_S10/CMP0_IN5/DPDWK_IN1</t>
  </si>
  <si>
    <t>SPI4_SCK</t>
  </si>
  <si>
    <t>wku_ind[10]</t>
  </si>
  <si>
    <t>PTD_7</t>
  </si>
  <si>
    <t>CMP0_IN6</t>
  </si>
  <si>
    <t>eTMR2_FLT3</t>
  </si>
  <si>
    <t>SPI4_SIN</t>
  </si>
  <si>
    <t>PTD_6</t>
  </si>
  <si>
    <t>CMP0_IN7</t>
  </si>
  <si>
    <t>eTMR2_FLT2</t>
  </si>
  <si>
    <t>SPI4_SOUT</t>
  </si>
  <si>
    <t>PTD_5</t>
  </si>
  <si>
    <t>LPTMR0_ALT2</t>
  </si>
  <si>
    <t>SPI4_PCS1</t>
  </si>
  <si>
    <t>TMU_IN7</t>
  </si>
  <si>
    <t>wku_ind[11]</t>
  </si>
  <si>
    <t>PTD_12</t>
  </si>
  <si>
    <t>SPI5_SIN</t>
  </si>
  <si>
    <t>PTD_11</t>
  </si>
  <si>
    <t>eTMR2_CH1</t>
  </si>
  <si>
    <t>SPI5_SOUT</t>
  </si>
  <si>
    <t>PTD_10</t>
  </si>
  <si>
    <t>SPI5_SCK</t>
  </si>
  <si>
    <t>PTC_1</t>
  </si>
  <si>
    <t>ADC0_S9</t>
  </si>
  <si>
    <t>SPI2_SOUT</t>
  </si>
  <si>
    <t>CAN3_TX</t>
  </si>
  <si>
    <t>UART5_TX</t>
  </si>
  <si>
    <t>eTMR1_CH7</t>
  </si>
  <si>
    <t>wku_ind[12]</t>
  </si>
  <si>
    <t>PTC_0</t>
  </si>
  <si>
    <t>ADC0_S8/DPDWK_IN0</t>
  </si>
  <si>
    <t>CAN3_RX</t>
  </si>
  <si>
    <t>UART5_RX</t>
  </si>
  <si>
    <t>eTMR1_CH6</t>
  </si>
  <si>
    <t>wku_ind[13]</t>
  </si>
  <si>
    <t>PTD_9</t>
  </si>
  <si>
    <t>UART4_TX</t>
  </si>
  <si>
    <t>eTMR1_CH5</t>
  </si>
  <si>
    <t>PTD_8</t>
  </si>
  <si>
    <t>UART4_RX</t>
  </si>
  <si>
    <t>eTMR1_CH4</t>
  </si>
  <si>
    <t>PTC_17</t>
  </si>
  <si>
    <t>ADC0_S15</t>
  </si>
  <si>
    <t>eTMR1_FLT3</t>
  </si>
  <si>
    <t>CAN2_TX</t>
  </si>
  <si>
    <t>PTC_16</t>
  </si>
  <si>
    <t>ADC0_S14</t>
  </si>
  <si>
    <t>eTMR1_FLT2</t>
  </si>
  <si>
    <t>CAN2_RX</t>
  </si>
  <si>
    <t>PTB_22</t>
  </si>
  <si>
    <t>ADC0_S19</t>
  </si>
  <si>
    <t>PTC_15</t>
  </si>
  <si>
    <t>ADC0_S13</t>
  </si>
  <si>
    <t>eTMR1_CH3</t>
  </si>
  <si>
    <t>TMU_IN8</t>
  </si>
  <si>
    <t>wku_ind[14]</t>
  </si>
  <si>
    <t>PTB_23</t>
  </si>
  <si>
    <t>ADC0_S20</t>
  </si>
  <si>
    <t>PTC_14</t>
  </si>
  <si>
    <t>ADC0_S12</t>
  </si>
  <si>
    <t>eTMR1_CH2</t>
  </si>
  <si>
    <t>TMU_IN9</t>
  </si>
  <si>
    <t>eTMR3_CH4</t>
  </si>
  <si>
    <t>wku_ind[15]</t>
  </si>
  <si>
    <t>PTB_25</t>
  </si>
  <si>
    <t>ADC0_S21</t>
  </si>
  <si>
    <t>PTB_3</t>
  </si>
  <si>
    <t>ADC0_S7</t>
  </si>
  <si>
    <t>eTMR1_CH1</t>
  </si>
  <si>
    <t>eTMR1_QD_PHA</t>
  </si>
  <si>
    <t>TMU_IN2</t>
  </si>
  <si>
    <t>PTB_27</t>
  </si>
  <si>
    <t>ADC0_S22</t>
  </si>
  <si>
    <t>MPWM0_CH0</t>
  </si>
  <si>
    <t>PTB_28</t>
  </si>
  <si>
    <t>ADC0_S23</t>
  </si>
  <si>
    <t>MPWM0_CH1</t>
  </si>
  <si>
    <t>PTB_2</t>
  </si>
  <si>
    <t>ADC0_S6</t>
  </si>
  <si>
    <t>eTMR1_CH0</t>
  </si>
  <si>
    <t>eTMR1_QD_PHB</t>
  </si>
  <si>
    <t>MPWM0_CH2</t>
  </si>
  <si>
    <t>TMU_IN3</t>
  </si>
  <si>
    <t>PTB_29</t>
  </si>
  <si>
    <t>MPWM0_CH3</t>
  </si>
  <si>
    <t>PTC_13</t>
  </si>
  <si>
    <t>eTMR3_CH7</t>
  </si>
  <si>
    <t>eTMR3_CH3</t>
  </si>
  <si>
    <t>PTC_12</t>
  </si>
  <si>
    <t>eTMR3_CH6</t>
  </si>
  <si>
    <t>eTMR3_CH2</t>
  </si>
  <si>
    <t>PTC_19</t>
  </si>
  <si>
    <t>MPWM0_CH7</t>
  </si>
  <si>
    <t>PTC_23</t>
  </si>
  <si>
    <t>PTC_11</t>
  </si>
  <si>
    <t>TMU_IN10</t>
  </si>
  <si>
    <t>PTC_10</t>
  </si>
  <si>
    <t>TMU_IN11</t>
  </si>
  <si>
    <t>eTMR3_CH0</t>
  </si>
  <si>
    <t>PTC_27</t>
  </si>
  <si>
    <t>PTB_1</t>
  </si>
  <si>
    <t>ADC1_S25/ADC0_S5</t>
  </si>
  <si>
    <t>TCLK_IN0</t>
  </si>
  <si>
    <t>wku_ind[16]</t>
  </si>
  <si>
    <t>PTB_0</t>
  </si>
  <si>
    <t>ADC1_S24/ADC0_S4</t>
  </si>
  <si>
    <t>LPTMR0_ALT3</t>
  </si>
  <si>
    <t>wku_ind[17]</t>
  </si>
  <si>
    <t>PTC_28</t>
  </si>
  <si>
    <t>PTC_9</t>
  </si>
  <si>
    <t>eTMR1_FLT1</t>
  </si>
  <si>
    <t>SPI5_PCS1</t>
  </si>
  <si>
    <t>PTC_8</t>
  </si>
  <si>
    <t>DAC0_OUT</t>
  </si>
  <si>
    <t>eTMR1_FLT0</t>
  </si>
  <si>
    <t>SPI5_PCS0</t>
  </si>
  <si>
    <t>PTC_29</t>
  </si>
  <si>
    <t>PTA_7</t>
  </si>
  <si>
    <t>ADC0_S3</t>
  </si>
  <si>
    <t>RTC_CLKIN</t>
  </si>
  <si>
    <t>wku_ind[18]</t>
  </si>
  <si>
    <t>PTC_30</t>
  </si>
  <si>
    <t>PTA_6</t>
  </si>
  <si>
    <t>ADC0_S2</t>
  </si>
  <si>
    <t>wku_ind[19]</t>
  </si>
  <si>
    <t>PTC_31</t>
  </si>
  <si>
    <t>PTE_7</t>
  </si>
  <si>
    <t>eTMR3_FLT0</t>
  </si>
  <si>
    <t>PTD_18</t>
  </si>
  <si>
    <t>ADC1_S16</t>
  </si>
  <si>
    <t>PTD_19</t>
  </si>
  <si>
    <t>ADC1_S17</t>
  </si>
  <si>
    <t>PTA_17</t>
  </si>
  <si>
    <t>PTB_17</t>
  </si>
  <si>
    <t>SPI1_PCS3</t>
  </si>
  <si>
    <t>PTB_16</t>
  </si>
  <si>
    <t>ADC1_S15</t>
  </si>
  <si>
    <t>PTB_15</t>
  </si>
  <si>
    <t>ADC1_S14</t>
  </si>
  <si>
    <t>PTB_14</t>
  </si>
  <si>
    <t>ADC1_S9/ADC0_S25</t>
  </si>
  <si>
    <t>PTB_13</t>
  </si>
  <si>
    <t>ADC1_S8/ADC0_S24</t>
  </si>
  <si>
    <t>eTMR3_FLT1</t>
  </si>
  <si>
    <t>SPI3_PCS2</t>
  </si>
  <si>
    <t>wku_ind[20]</t>
  </si>
  <si>
    <t>PTB_12</t>
  </si>
  <si>
    <t>ADC1_S7</t>
  </si>
  <si>
    <t>eTMR3_FLT2</t>
  </si>
  <si>
    <t>SPI3_PCS3</t>
  </si>
  <si>
    <t>wku_ind[21]</t>
  </si>
  <si>
    <t>PTD_22</t>
  </si>
  <si>
    <t>ADC1_S18</t>
  </si>
  <si>
    <t>PTD_4</t>
  </si>
  <si>
    <t>ADC1_S6</t>
  </si>
  <si>
    <t>eTMR3_FLT3</t>
  </si>
  <si>
    <t>PTD_3</t>
  </si>
  <si>
    <t>ADC1_S3</t>
  </si>
  <si>
    <t>TMU_IN4</t>
  </si>
  <si>
    <t>CORE_NMI_b</t>
  </si>
  <si>
    <t>wku_ind[22]</t>
  </si>
  <si>
    <t>PTD_2</t>
  </si>
  <si>
    <t>ADC1_S2</t>
  </si>
  <si>
    <t>TMU_IN5</t>
  </si>
  <si>
    <t>wku_ind[23]</t>
  </si>
  <si>
    <t>PTD_23</t>
  </si>
  <si>
    <t>ADC1_S19</t>
  </si>
  <si>
    <t>PTA_3</t>
  </si>
  <si>
    <t>ADC1_S1</t>
  </si>
  <si>
    <t>eTMR3_CH1</t>
  </si>
  <si>
    <t>wku_ind[24]</t>
  </si>
  <si>
    <t>PTA_2</t>
  </si>
  <si>
    <t>ADC1_S0</t>
  </si>
  <si>
    <t>wku_ind[25]</t>
  </si>
  <si>
    <t>PTD_24</t>
  </si>
  <si>
    <t>ADC1_S20</t>
  </si>
  <si>
    <t>PTB_11</t>
  </si>
  <si>
    <t>PTB_10</t>
  </si>
  <si>
    <t>PTB_9</t>
  </si>
  <si>
    <t>PTD_27</t>
  </si>
  <si>
    <t>ADC1_S21</t>
  </si>
  <si>
    <t>PTB_8</t>
  </si>
  <si>
    <t>SPI0_PCS5</t>
  </si>
  <si>
    <t>PTD_28</t>
  </si>
  <si>
    <t>ADC1_S22</t>
  </si>
  <si>
    <t>PTA_1</t>
  </si>
  <si>
    <t>ADC0_S1/CMP0_IN1</t>
  </si>
  <si>
    <t>UART0_RTS</t>
  </si>
  <si>
    <t>SPI0_PCS6</t>
  </si>
  <si>
    <t>TMU_OUT0</t>
  </si>
  <si>
    <t>PTD_29</t>
  </si>
  <si>
    <t>ADC1_S23</t>
  </si>
  <si>
    <t>PTA_0</t>
  </si>
  <si>
    <t>ADC0_S0/CMP0_IN0</t>
  </si>
  <si>
    <t>UART0_CTS</t>
  </si>
  <si>
    <t>SPI0_PCS7</t>
  </si>
  <si>
    <t>TMU_OUT3</t>
  </si>
  <si>
    <t>PTD_30</t>
  </si>
  <si>
    <t>PTC_7</t>
  </si>
  <si>
    <t>ADC1_S5</t>
  </si>
  <si>
    <t>CAN1_TX</t>
  </si>
  <si>
    <t>wku_ind[26]</t>
  </si>
  <si>
    <t>PTC_6</t>
  </si>
  <si>
    <t>ADC1_S4/DPDWK_IN2</t>
  </si>
  <si>
    <t>CAN1_RX</t>
  </si>
  <si>
    <t>wku_ind[27]</t>
  </si>
  <si>
    <t>PTA_16</t>
  </si>
  <si>
    <t>ADC1_S13</t>
  </si>
  <si>
    <t>SPI1_PCS2</t>
  </si>
  <si>
    <t>SPI0_PCS4</t>
  </si>
  <si>
    <t>PTA_15</t>
  </si>
  <si>
    <t>ADC1_S12</t>
  </si>
  <si>
    <t>SPI0_PCS3</t>
  </si>
  <si>
    <t>SPI2_PCS3</t>
  </si>
  <si>
    <t>PTE_6</t>
  </si>
  <si>
    <t>ADC1_S11</t>
  </si>
  <si>
    <t>SPI0_PCS2</t>
  </si>
  <si>
    <t>wku_ind[28]</t>
  </si>
  <si>
    <t>PTE_2</t>
  </si>
  <si>
    <t>ADC1_S10</t>
  </si>
  <si>
    <t>wku_ind[29]</t>
  </si>
  <si>
    <t>PTE_19</t>
  </si>
  <si>
    <t>SPI1_PCS4</t>
  </si>
  <si>
    <t>PTE_20</t>
  </si>
  <si>
    <t>PTA_14</t>
  </si>
  <si>
    <t>PTE_21</t>
  </si>
  <si>
    <t>PTE_22</t>
  </si>
  <si>
    <t>PTA_13</t>
  </si>
  <si>
    <t>wku_ind[30]</t>
  </si>
  <si>
    <t>PTE_23</t>
  </si>
  <si>
    <t>PTE_24</t>
  </si>
  <si>
    <t>PTE_25</t>
  </si>
  <si>
    <t>PTA_12</t>
  </si>
  <si>
    <t>wku_ind[31]</t>
  </si>
  <si>
    <t>PTA_11</t>
  </si>
  <si>
    <t>PTA_10</t>
  </si>
  <si>
    <t>JTAG_TDO_SWD_SWO</t>
  </si>
  <si>
    <t>PTE_1</t>
  </si>
  <si>
    <t>wku_ind[5]</t>
  </si>
  <si>
    <t>PTE_0</t>
  </si>
  <si>
    <t>TCLK_IN1</t>
  </si>
  <si>
    <t>wku_ind[6]</t>
  </si>
  <si>
    <t>PTC_5</t>
  </si>
  <si>
    <t>JTAG_TDI</t>
  </si>
  <si>
    <t>Pull Up Input</t>
  </si>
  <si>
    <t>PTC_4</t>
  </si>
  <si>
    <t>JTAG_TCK_SWD_CLK</t>
  </si>
  <si>
    <t>CMP0_IN2</t>
  </si>
  <si>
    <t>Pull Down Input</t>
  </si>
  <si>
    <t>PTA_5</t>
  </si>
  <si>
    <t>RCU_RESET_b</t>
  </si>
  <si>
    <t>PTA_4</t>
  </si>
  <si>
    <t>JTAG_TMS_SWD_IO</t>
  </si>
  <si>
    <t>PTA_9</t>
  </si>
  <si>
    <t>PTA_8</t>
  </si>
  <si>
    <t>Version</t>
  </si>
  <si>
    <t>Author</t>
  </si>
  <si>
    <t>Description</t>
  </si>
  <si>
    <t>V1.0</t>
  </si>
  <si>
    <t>Major Lin</t>
  </si>
  <si>
    <t>Initial version.</t>
  </si>
  <si>
    <t>V1.1</t>
  </si>
  <si>
    <t>Update VDD12 pad</t>
  </si>
  <si>
    <t>Support pullup/pulldown</t>
  </si>
  <si>
    <t>Support slew rate</t>
  </si>
  <si>
    <t>Support high drive</t>
  </si>
  <si>
    <t>Pin filter</t>
  </si>
  <si>
    <t>Y</t>
  </si>
  <si>
    <t>Digital filter</t>
  </si>
  <si>
    <t>Passive/Digital filter</t>
  </si>
  <si>
    <t>Passive filter</t>
  </si>
  <si>
    <r>
      <t>V1.</t>
    </r>
    <r>
      <rPr>
        <sz val="11"/>
        <color rgb="FF000000"/>
        <rFont val="Calibri"/>
        <family val="2"/>
      </rPr>
      <t>2</t>
    </r>
    <phoneticPr fontId="10" type="noConversion"/>
  </si>
  <si>
    <t>ALT5</t>
    <phoneticPr fontId="12" type="noConversion"/>
  </si>
  <si>
    <t>ADC0_S10/CMP0_IN5/DPDWK_IN1</t>
    <phoneticPr fontId="10" type="noConversion"/>
  </si>
  <si>
    <t>Power</t>
    <phoneticPr fontId="12" type="noConversion"/>
  </si>
  <si>
    <t>VDD12</t>
    <phoneticPr fontId="12" type="noConversion"/>
  </si>
  <si>
    <t>ALT0</t>
    <phoneticPr fontId="12" type="noConversion"/>
  </si>
  <si>
    <t>VDD</t>
    <phoneticPr fontId="12" type="noConversion"/>
  </si>
  <si>
    <t>VSS</t>
    <phoneticPr fontId="12" type="noConversion"/>
  </si>
  <si>
    <t>VDDA</t>
    <phoneticPr fontId="12" type="noConversion"/>
  </si>
  <si>
    <t>VREFH</t>
    <phoneticPr fontId="12" type="noConversion"/>
  </si>
  <si>
    <t>VREFL</t>
    <phoneticPr fontId="12" type="noConversion"/>
  </si>
  <si>
    <t>SWD/JTAG</t>
    <phoneticPr fontId="12" type="noConversion"/>
  </si>
  <si>
    <t>PTA_10</t>
    <phoneticPr fontId="12" type="noConversion"/>
  </si>
  <si>
    <t>JTAG_TDO_SWD_SWO</t>
    <phoneticPr fontId="12" type="noConversion"/>
  </si>
  <si>
    <t>ALT7</t>
    <phoneticPr fontId="12" type="noConversion"/>
  </si>
  <si>
    <t>PTC_5</t>
    <phoneticPr fontId="12" type="noConversion"/>
  </si>
  <si>
    <t>JTAG_TDI</t>
    <phoneticPr fontId="12" type="noConversion"/>
  </si>
  <si>
    <t>PTC_4</t>
    <phoneticPr fontId="12" type="noConversion"/>
  </si>
  <si>
    <t>JTAG_TCK_SWD_CLK</t>
    <phoneticPr fontId="12" type="noConversion"/>
  </si>
  <si>
    <t>PTA_5</t>
    <phoneticPr fontId="12" type="noConversion"/>
  </si>
  <si>
    <t>RESET_b</t>
    <phoneticPr fontId="12" type="noConversion"/>
  </si>
  <si>
    <t>PTA_4</t>
    <phoneticPr fontId="12" type="noConversion"/>
  </si>
  <si>
    <t>JTAG_TMS_SWD_IO</t>
    <phoneticPr fontId="12" type="noConversion"/>
  </si>
  <si>
    <t>PTE_4</t>
    <phoneticPr fontId="12" type="noConversion"/>
  </si>
  <si>
    <t>ETM_TRACE_D1</t>
    <phoneticPr fontId="12" type="noConversion"/>
  </si>
  <si>
    <t>ALT2</t>
    <phoneticPr fontId="12" type="noConversion"/>
  </si>
  <si>
    <t>PTD_12</t>
    <phoneticPr fontId="12" type="noConversion"/>
  </si>
  <si>
    <t>ALT4</t>
    <phoneticPr fontId="12" type="noConversion"/>
  </si>
  <si>
    <t>PTD_11</t>
    <phoneticPr fontId="12" type="noConversion"/>
  </si>
  <si>
    <t>ETM_TRACE_D2</t>
    <phoneticPr fontId="12" type="noConversion"/>
  </si>
  <si>
    <t>PTD_10</t>
    <phoneticPr fontId="12" type="noConversion"/>
  </si>
  <si>
    <t>ETM_TRACE_D3</t>
    <phoneticPr fontId="12" type="noConversion"/>
  </si>
  <si>
    <t>PTE_11</t>
    <phoneticPr fontId="12" type="noConversion"/>
  </si>
  <si>
    <t>ETM_TRACE_D0</t>
    <phoneticPr fontId="12" type="noConversion"/>
  </si>
  <si>
    <t>ALT6</t>
    <phoneticPr fontId="12" type="noConversion"/>
  </si>
  <si>
    <t>PTD_16</t>
    <phoneticPr fontId="12" type="noConversion"/>
  </si>
  <si>
    <t>PTD_15</t>
    <phoneticPr fontId="12" type="noConversion"/>
  </si>
  <si>
    <t>PTC_2</t>
    <phoneticPr fontId="12" type="noConversion"/>
  </si>
  <si>
    <t>ETM_TRACE_CLKOUT</t>
    <phoneticPr fontId="12" type="noConversion"/>
  </si>
  <si>
    <t>PTD_7</t>
    <phoneticPr fontId="12" type="noConversion"/>
  </si>
  <si>
    <t>PTE_6</t>
    <phoneticPr fontId="12" type="noConversion"/>
  </si>
  <si>
    <t>PTE_2</t>
    <phoneticPr fontId="12" type="noConversion"/>
  </si>
  <si>
    <t>RTC_CLKIN</t>
    <phoneticPr fontId="12" type="noConversion"/>
  </si>
  <si>
    <t>PTA_7</t>
    <phoneticPr fontId="12" type="noConversion"/>
  </si>
  <si>
    <t>PTB_7</t>
    <phoneticPr fontId="12" type="noConversion"/>
  </si>
  <si>
    <t>EXTAL</t>
    <phoneticPr fontId="12" type="noConversion"/>
  </si>
  <si>
    <t>PTB_6</t>
    <phoneticPr fontId="12" type="noConversion"/>
  </si>
  <si>
    <t>XTAL</t>
    <phoneticPr fontId="12" type="noConversion"/>
  </si>
  <si>
    <t>EXTAL32</t>
    <phoneticPr fontId="12" type="noConversion"/>
  </si>
  <si>
    <t>XTAL32</t>
    <phoneticPr fontId="12" type="noConversion"/>
  </si>
  <si>
    <t>eTMR</t>
    <phoneticPr fontId="12" type="noConversion"/>
  </si>
  <si>
    <t>PTD_0</t>
    <phoneticPr fontId="12" type="noConversion"/>
  </si>
  <si>
    <t>eTMR0_CH2</t>
    <phoneticPr fontId="12" type="noConversion"/>
  </si>
  <si>
    <t>PTE_14</t>
    <phoneticPr fontId="12" type="noConversion"/>
  </si>
  <si>
    <t>eTMR0_FLT1</t>
    <phoneticPr fontId="12" type="noConversion"/>
  </si>
  <si>
    <t>PTE_3</t>
    <phoneticPr fontId="12" type="noConversion"/>
  </si>
  <si>
    <t>eTMR0_FLT0</t>
    <phoneticPr fontId="12" type="noConversion"/>
  </si>
  <si>
    <t>PTE_12</t>
    <phoneticPr fontId="12" type="noConversion"/>
  </si>
  <si>
    <t>eTMR0_FLT3</t>
    <phoneticPr fontId="12" type="noConversion"/>
  </si>
  <si>
    <t>PTD_17</t>
    <phoneticPr fontId="12" type="noConversion"/>
  </si>
  <si>
    <t>eTMR0_FLT2</t>
    <phoneticPr fontId="12" type="noConversion"/>
  </si>
  <si>
    <t>eTMR0_CH1</t>
    <phoneticPr fontId="12" type="noConversion"/>
  </si>
  <si>
    <t>eTMR0_CH0</t>
    <phoneticPr fontId="12" type="noConversion"/>
  </si>
  <si>
    <t>PTE_9</t>
    <phoneticPr fontId="12" type="noConversion"/>
  </si>
  <si>
    <t>eTMR0_CH7</t>
    <phoneticPr fontId="12" type="noConversion"/>
  </si>
  <si>
    <t>PTD_14</t>
    <phoneticPr fontId="12" type="noConversion"/>
  </si>
  <si>
    <t>eTMR2_CH5</t>
    <phoneticPr fontId="12" type="noConversion"/>
  </si>
  <si>
    <t>PTD_13</t>
    <phoneticPr fontId="12" type="noConversion"/>
  </si>
  <si>
    <t>eTMR2_CH4</t>
    <phoneticPr fontId="12" type="noConversion"/>
  </si>
  <si>
    <t>PTE_8</t>
    <phoneticPr fontId="12" type="noConversion"/>
  </si>
  <si>
    <t>eTMR0_CH6</t>
    <phoneticPr fontId="12" type="noConversion"/>
  </si>
  <si>
    <t>PTB_5</t>
    <phoneticPr fontId="12" type="noConversion"/>
  </si>
  <si>
    <t>eTMR0_CH5</t>
    <phoneticPr fontId="12" type="noConversion"/>
  </si>
  <si>
    <t>PTB_4</t>
    <phoneticPr fontId="12" type="noConversion"/>
  </si>
  <si>
    <t>eTMR0_CH4</t>
    <phoneticPr fontId="12" type="noConversion"/>
  </si>
  <si>
    <t>PTC_3</t>
    <phoneticPr fontId="12" type="noConversion"/>
  </si>
  <si>
    <t>eTMR0_CH3</t>
    <phoneticPr fontId="12" type="noConversion"/>
  </si>
  <si>
    <t>PTD_5</t>
    <phoneticPr fontId="12" type="noConversion"/>
  </si>
  <si>
    <t>eTMR2_CH3</t>
    <phoneticPr fontId="12" type="noConversion"/>
  </si>
  <si>
    <t>eTMR2_CH2</t>
    <phoneticPr fontId="12" type="noConversion"/>
  </si>
  <si>
    <t>eTMR2_CH1</t>
    <phoneticPr fontId="12" type="noConversion"/>
  </si>
  <si>
    <t>eTMR2_CH0</t>
    <phoneticPr fontId="12" type="noConversion"/>
  </si>
  <si>
    <t>PTC_1</t>
    <phoneticPr fontId="12" type="noConversion"/>
  </si>
  <si>
    <t>PTC_0</t>
    <phoneticPr fontId="12" type="noConversion"/>
  </si>
  <si>
    <t>PTC_17</t>
    <phoneticPr fontId="12" type="noConversion"/>
  </si>
  <si>
    <t>eTMR1_FLT3</t>
    <phoneticPr fontId="12" type="noConversion"/>
  </si>
  <si>
    <t>PTC_16</t>
    <phoneticPr fontId="12" type="noConversion"/>
  </si>
  <si>
    <t>eTMR1_FLT2</t>
    <phoneticPr fontId="12" type="noConversion"/>
  </si>
  <si>
    <t>PTC_15</t>
    <phoneticPr fontId="12" type="noConversion"/>
  </si>
  <si>
    <t>eTMR1_CH3</t>
    <phoneticPr fontId="12" type="noConversion"/>
  </si>
  <si>
    <t>PTC_14</t>
    <phoneticPr fontId="12" type="noConversion"/>
  </si>
  <si>
    <t>eTMR1_CH2</t>
    <phoneticPr fontId="12" type="noConversion"/>
  </si>
  <si>
    <t>PTB_3</t>
    <phoneticPr fontId="12" type="noConversion"/>
  </si>
  <si>
    <t>eTMR1_CH1</t>
    <phoneticPr fontId="12" type="noConversion"/>
  </si>
  <si>
    <t>PTB_2</t>
    <phoneticPr fontId="12" type="noConversion"/>
  </si>
  <si>
    <t>eTMR1_CH0</t>
    <phoneticPr fontId="12" type="noConversion"/>
  </si>
  <si>
    <t>PTC_13</t>
    <phoneticPr fontId="12" type="noConversion"/>
  </si>
  <si>
    <t>eTMR3_CH7</t>
    <phoneticPr fontId="12" type="noConversion"/>
  </si>
  <si>
    <t>PTC_12</t>
    <phoneticPr fontId="12" type="noConversion"/>
  </si>
  <si>
    <t>eTMR3_CH6</t>
    <phoneticPr fontId="12" type="noConversion"/>
  </si>
  <si>
    <t>PTC_11</t>
    <phoneticPr fontId="12" type="noConversion"/>
  </si>
  <si>
    <t>eTMR3_CH5</t>
    <phoneticPr fontId="12" type="noConversion"/>
  </si>
  <si>
    <t>PTC_10</t>
    <phoneticPr fontId="12" type="noConversion"/>
  </si>
  <si>
    <t>eTMR3_CH4</t>
    <phoneticPr fontId="12" type="noConversion"/>
  </si>
  <si>
    <t>PTA_6</t>
    <phoneticPr fontId="12" type="noConversion"/>
  </si>
  <si>
    <t>PTE_7</t>
    <phoneticPr fontId="12" type="noConversion"/>
  </si>
  <si>
    <t>PTA_17</t>
    <phoneticPr fontId="12" type="noConversion"/>
  </si>
  <si>
    <t>PTB_17</t>
    <phoneticPr fontId="12" type="noConversion"/>
  </si>
  <si>
    <t>PTB_16</t>
    <phoneticPr fontId="12" type="noConversion"/>
  </si>
  <si>
    <t>PTB_15</t>
    <phoneticPr fontId="12" type="noConversion"/>
  </si>
  <si>
    <t>PTB_14</t>
    <phoneticPr fontId="12" type="noConversion"/>
  </si>
  <si>
    <t>PTB_13</t>
    <phoneticPr fontId="12" type="noConversion"/>
  </si>
  <si>
    <t>PTB_12</t>
    <phoneticPr fontId="12" type="noConversion"/>
  </si>
  <si>
    <t>PTD_4</t>
    <phoneticPr fontId="12" type="noConversion"/>
  </si>
  <si>
    <t>PTD_3</t>
    <phoneticPr fontId="12" type="noConversion"/>
  </si>
  <si>
    <t>PTD_2</t>
    <phoneticPr fontId="12" type="noConversion"/>
  </si>
  <si>
    <t>PTA_3</t>
    <phoneticPr fontId="12" type="noConversion"/>
  </si>
  <si>
    <t>eTMR3_CH1</t>
    <phoneticPr fontId="12" type="noConversion"/>
  </si>
  <si>
    <t>PTA_2</t>
    <phoneticPr fontId="12" type="noConversion"/>
  </si>
  <si>
    <t>eTMR3_CH0</t>
    <phoneticPr fontId="12" type="noConversion"/>
  </si>
  <si>
    <t>PTB_11</t>
    <phoneticPr fontId="12" type="noConversion"/>
  </si>
  <si>
    <t>eTMR3_CH3</t>
    <phoneticPr fontId="12" type="noConversion"/>
  </si>
  <si>
    <t>PTB_10</t>
    <phoneticPr fontId="12" type="noConversion"/>
  </si>
  <si>
    <t>eTMR3_CH2</t>
    <phoneticPr fontId="12" type="noConversion"/>
  </si>
  <si>
    <t>PTB_9</t>
    <phoneticPr fontId="12" type="noConversion"/>
  </si>
  <si>
    <t>PTB_8</t>
    <phoneticPr fontId="12" type="noConversion"/>
  </si>
  <si>
    <t>PTA_1</t>
    <phoneticPr fontId="12" type="noConversion"/>
  </si>
  <si>
    <t>PTA_0</t>
    <phoneticPr fontId="12" type="noConversion"/>
  </si>
  <si>
    <t>PTA_16</t>
    <phoneticPr fontId="12" type="noConversion"/>
  </si>
  <si>
    <t>PTA_15</t>
    <phoneticPr fontId="12" type="noConversion"/>
  </si>
  <si>
    <t>PTE_19</t>
    <phoneticPr fontId="12" type="noConversion"/>
  </si>
  <si>
    <t>eTMR2_CH6</t>
    <phoneticPr fontId="12" type="noConversion"/>
  </si>
  <si>
    <t>PTA_14</t>
    <phoneticPr fontId="12" type="noConversion"/>
  </si>
  <si>
    <t>PTA_13</t>
    <phoneticPr fontId="12" type="noConversion"/>
  </si>
  <si>
    <t>eTMR1_CH7</t>
    <phoneticPr fontId="12" type="noConversion"/>
  </si>
  <si>
    <t>PTA_12</t>
    <phoneticPr fontId="12" type="noConversion"/>
  </si>
  <si>
    <t>eTMR1_CH6</t>
    <phoneticPr fontId="12" type="noConversion"/>
  </si>
  <si>
    <t>PTA_11</t>
    <phoneticPr fontId="12" type="noConversion"/>
  </si>
  <si>
    <t>eTMR1_CH5</t>
    <phoneticPr fontId="12" type="noConversion"/>
  </si>
  <si>
    <t>eTMR1_CH4</t>
    <phoneticPr fontId="12" type="noConversion"/>
  </si>
  <si>
    <t>PTE_5</t>
    <phoneticPr fontId="12" type="noConversion"/>
  </si>
  <si>
    <t>eTMR2_QD_PHA</t>
    <phoneticPr fontId="12" type="noConversion"/>
  </si>
  <si>
    <t>ALT3</t>
    <phoneticPr fontId="12" type="noConversion"/>
  </si>
  <si>
    <t>eTMR2_QD_PHB</t>
    <phoneticPr fontId="12" type="noConversion"/>
  </si>
  <si>
    <t>PTD_6</t>
    <phoneticPr fontId="12" type="noConversion"/>
  </si>
  <si>
    <t>eTMR2_CH7</t>
    <phoneticPr fontId="12" type="noConversion"/>
  </si>
  <si>
    <t>PTC_28</t>
    <phoneticPr fontId="12" type="noConversion"/>
  </si>
  <si>
    <t>PTC_9</t>
    <phoneticPr fontId="12" type="noConversion"/>
  </si>
  <si>
    <t>eTMR1_FLT1</t>
    <phoneticPr fontId="12" type="noConversion"/>
  </si>
  <si>
    <t>PTC_8</t>
    <phoneticPr fontId="12" type="noConversion"/>
  </si>
  <si>
    <t>eTMR1_FLT0</t>
    <phoneticPr fontId="12" type="noConversion"/>
  </si>
  <si>
    <t>eTMR3_FLT0</t>
    <phoneticPr fontId="12" type="noConversion"/>
  </si>
  <si>
    <t>eTMR3_FLT1</t>
    <phoneticPr fontId="12" type="noConversion"/>
  </si>
  <si>
    <t>eTMR3_FLT2</t>
    <phoneticPr fontId="12" type="noConversion"/>
  </si>
  <si>
    <t>eTMR3_FLT3</t>
    <phoneticPr fontId="12" type="noConversion"/>
  </si>
  <si>
    <t>PTE_20</t>
    <phoneticPr fontId="12" type="noConversion"/>
  </si>
  <si>
    <t>PTE_16</t>
    <phoneticPr fontId="12" type="noConversion"/>
  </si>
  <si>
    <t>PTE_15</t>
    <phoneticPr fontId="12" type="noConversion"/>
  </si>
  <si>
    <t>PTE_10</t>
    <phoneticPr fontId="12" type="noConversion"/>
  </si>
  <si>
    <t>PTE_13</t>
    <phoneticPr fontId="12" type="noConversion"/>
  </si>
  <si>
    <t>eTMR2_FLT0</t>
    <phoneticPr fontId="12" type="noConversion"/>
  </si>
  <si>
    <t>eTMR2_FLT1</t>
    <phoneticPr fontId="12" type="noConversion"/>
  </si>
  <si>
    <t>eTMR2_FLT3</t>
    <phoneticPr fontId="12" type="noConversion"/>
  </si>
  <si>
    <t>eTMR2_FLT2</t>
    <phoneticPr fontId="12" type="noConversion"/>
  </si>
  <si>
    <t>PTD_9</t>
    <phoneticPr fontId="12" type="noConversion"/>
  </si>
  <si>
    <t>PTD_8</t>
    <phoneticPr fontId="12" type="noConversion"/>
  </si>
  <si>
    <t>eTMR1_QD_PHA</t>
    <phoneticPr fontId="12" type="noConversion"/>
  </si>
  <si>
    <t>eTMR1_QD_PHB</t>
    <phoneticPr fontId="12" type="noConversion"/>
  </si>
  <si>
    <t>PTC_7</t>
    <phoneticPr fontId="12" type="noConversion"/>
  </si>
  <si>
    <t>PTC_6</t>
    <phoneticPr fontId="12" type="noConversion"/>
  </si>
  <si>
    <t>PTE_21</t>
    <phoneticPr fontId="12" type="noConversion"/>
  </si>
  <si>
    <t>PTE_22</t>
    <phoneticPr fontId="12" type="noConversion"/>
  </si>
  <si>
    <t>PTE_23</t>
    <phoneticPr fontId="12" type="noConversion"/>
  </si>
  <si>
    <t>PTE_24</t>
    <phoneticPr fontId="12" type="noConversion"/>
  </si>
  <si>
    <t>PTE_25</t>
    <phoneticPr fontId="12" type="noConversion"/>
  </si>
  <si>
    <t>PTA_9</t>
    <phoneticPr fontId="12" type="noConversion"/>
  </si>
  <si>
    <t>PTA_8</t>
    <phoneticPr fontId="12" type="noConversion"/>
  </si>
  <si>
    <t>PTE_1</t>
    <phoneticPr fontId="12" type="noConversion"/>
  </si>
  <si>
    <t>PTE_0</t>
    <phoneticPr fontId="12" type="noConversion"/>
  </si>
  <si>
    <t>MPWM</t>
    <phoneticPr fontId="12" type="noConversion"/>
  </si>
  <si>
    <t>MPWM0_CH5</t>
    <phoneticPr fontId="12" type="noConversion"/>
  </si>
  <si>
    <t>PTA_25</t>
    <phoneticPr fontId="12" type="noConversion"/>
  </si>
  <si>
    <t>MPWM0_CH8</t>
    <phoneticPr fontId="12" type="noConversion"/>
  </si>
  <si>
    <t>PTA_26</t>
    <phoneticPr fontId="12" type="noConversion"/>
  </si>
  <si>
    <t>MPWM0_CH9</t>
    <phoneticPr fontId="12" type="noConversion"/>
  </si>
  <si>
    <t>PTA_27</t>
    <phoneticPr fontId="12" type="noConversion"/>
  </si>
  <si>
    <t>MPWM0_CH10</t>
    <phoneticPr fontId="12" type="noConversion"/>
  </si>
  <si>
    <t>PTA_28</t>
    <phoneticPr fontId="12" type="noConversion"/>
  </si>
  <si>
    <t>MPWM0_CH11</t>
    <phoneticPr fontId="12" type="noConversion"/>
  </si>
  <si>
    <t>PTA_29</t>
    <phoneticPr fontId="12" type="noConversion"/>
  </si>
  <si>
    <t>MPWM0_CH12</t>
    <phoneticPr fontId="12" type="noConversion"/>
  </si>
  <si>
    <t>PTA_30</t>
    <phoneticPr fontId="12" type="noConversion"/>
  </si>
  <si>
    <t>MPWM0_CH13</t>
    <phoneticPr fontId="12" type="noConversion"/>
  </si>
  <si>
    <t>PTA_31</t>
    <phoneticPr fontId="12" type="noConversion"/>
  </si>
  <si>
    <t>MPWM0_CH14</t>
    <phoneticPr fontId="12" type="noConversion"/>
  </si>
  <si>
    <t>PTB_18</t>
    <phoneticPr fontId="12" type="noConversion"/>
  </si>
  <si>
    <t>MPWM0_CH15</t>
    <phoneticPr fontId="12" type="noConversion"/>
  </si>
  <si>
    <t>PTC_27</t>
    <phoneticPr fontId="12" type="noConversion"/>
  </si>
  <si>
    <t>MPWM0_CH4</t>
    <phoneticPr fontId="12" type="noConversion"/>
  </si>
  <si>
    <t>MPWM0_CH7</t>
    <phoneticPr fontId="12" type="noConversion"/>
  </si>
  <si>
    <t>PTC_29</t>
    <phoneticPr fontId="12" type="noConversion"/>
  </si>
  <si>
    <t>PTC_30</t>
    <phoneticPr fontId="12" type="noConversion"/>
  </si>
  <si>
    <t>PTC_31</t>
    <phoneticPr fontId="12" type="noConversion"/>
  </si>
  <si>
    <t>PTD_18</t>
    <phoneticPr fontId="12" type="noConversion"/>
  </si>
  <si>
    <t>MPWM0_CH0</t>
    <phoneticPr fontId="12" type="noConversion"/>
  </si>
  <si>
    <t>MPWM0_CH1</t>
    <phoneticPr fontId="12" type="noConversion"/>
  </si>
  <si>
    <t>MPWM0_CH2</t>
    <phoneticPr fontId="12" type="noConversion"/>
  </si>
  <si>
    <t>MPWM0_CH3</t>
    <phoneticPr fontId="12" type="noConversion"/>
  </si>
  <si>
    <t>PTD_22</t>
    <phoneticPr fontId="12" type="noConversion"/>
  </si>
  <si>
    <t>PTD_23</t>
    <phoneticPr fontId="12" type="noConversion"/>
  </si>
  <si>
    <t>MPWM0_CH6</t>
    <phoneticPr fontId="12" type="noConversion"/>
  </si>
  <si>
    <t>PTB_27</t>
    <phoneticPr fontId="12" type="noConversion"/>
  </si>
  <si>
    <t>PTB_28</t>
    <phoneticPr fontId="12" type="noConversion"/>
  </si>
  <si>
    <t>PTB_29</t>
    <phoneticPr fontId="12" type="noConversion"/>
  </si>
  <si>
    <t>PTC_19</t>
    <phoneticPr fontId="12" type="noConversion"/>
  </si>
  <si>
    <t>PTC_23</t>
    <phoneticPr fontId="12" type="noConversion"/>
  </si>
  <si>
    <t>PTB_1</t>
    <phoneticPr fontId="12" type="noConversion"/>
  </si>
  <si>
    <t>PTB_0</t>
    <phoneticPr fontId="12" type="noConversion"/>
  </si>
  <si>
    <t>SPI</t>
    <phoneticPr fontId="12" type="noConversion"/>
  </si>
  <si>
    <t>SPI2_PCS0</t>
    <phoneticPr fontId="12" type="noConversion"/>
  </si>
  <si>
    <t>SPI0_SCK</t>
    <phoneticPr fontId="12" type="noConversion"/>
  </si>
  <si>
    <t>SPI0_PCS2</t>
    <phoneticPr fontId="12" type="noConversion"/>
  </si>
  <si>
    <t>SPI0_SOUT</t>
    <phoneticPr fontId="12" type="noConversion"/>
  </si>
  <si>
    <t>SPI0_SIN</t>
    <phoneticPr fontId="12" type="noConversion"/>
  </si>
  <si>
    <t>SPI2_SIN</t>
    <phoneticPr fontId="12" type="noConversion"/>
  </si>
  <si>
    <t>SPI2_SCK</t>
    <phoneticPr fontId="12" type="noConversion"/>
  </si>
  <si>
    <t>SPI1_SCK</t>
    <phoneticPr fontId="12" type="noConversion"/>
  </si>
  <si>
    <t>SPI2_PCS1</t>
    <phoneticPr fontId="12" type="noConversion"/>
  </si>
  <si>
    <t>SPI2_PCS2</t>
    <phoneticPr fontId="12" type="noConversion"/>
  </si>
  <si>
    <t>SPI1_PCS0</t>
    <phoneticPr fontId="12" type="noConversion"/>
  </si>
  <si>
    <t>SPI1_SIN</t>
    <phoneticPr fontId="12" type="noConversion"/>
  </si>
  <si>
    <t>SPI1_SOUT</t>
    <phoneticPr fontId="12" type="noConversion"/>
  </si>
  <si>
    <t>SPI0_PCS1</t>
    <phoneticPr fontId="12" type="noConversion"/>
  </si>
  <si>
    <t>SPI2_SOUT</t>
    <phoneticPr fontId="12" type="noConversion"/>
  </si>
  <si>
    <t>PTB_22</t>
    <phoneticPr fontId="12" type="noConversion"/>
  </si>
  <si>
    <t>SPI3_PCS1</t>
    <phoneticPr fontId="12" type="noConversion"/>
  </si>
  <si>
    <t>SPI0_PCS0</t>
    <phoneticPr fontId="12" type="noConversion"/>
  </si>
  <si>
    <t>SPI1_PCS1</t>
    <phoneticPr fontId="12" type="noConversion"/>
  </si>
  <si>
    <t>SPI1_PCS3</t>
    <phoneticPr fontId="12" type="noConversion"/>
  </si>
  <si>
    <t>SPI3_PCS0</t>
    <phoneticPr fontId="12" type="noConversion"/>
  </si>
  <si>
    <t>SPI1_PCS2</t>
    <phoneticPr fontId="12" type="noConversion"/>
  </si>
  <si>
    <t>SPI0_PCS3</t>
    <phoneticPr fontId="12" type="noConversion"/>
  </si>
  <si>
    <t>SPI3_SCK</t>
    <phoneticPr fontId="12" type="noConversion"/>
  </si>
  <si>
    <t>SPI3_SIN</t>
    <phoneticPr fontId="12" type="noConversion"/>
  </si>
  <si>
    <t>SPI4_PCS0</t>
    <phoneticPr fontId="12" type="noConversion"/>
  </si>
  <si>
    <t>SPI4_SCK</t>
    <phoneticPr fontId="12" type="noConversion"/>
  </si>
  <si>
    <t>SPI4_SIN</t>
    <phoneticPr fontId="12" type="noConversion"/>
  </si>
  <si>
    <t>SPI4_SOUT</t>
    <phoneticPr fontId="12" type="noConversion"/>
  </si>
  <si>
    <t>PTB_25</t>
    <phoneticPr fontId="12" type="noConversion"/>
  </si>
  <si>
    <t>SPI4_PCS1</t>
    <phoneticPr fontId="12" type="noConversion"/>
  </si>
  <si>
    <t>SPI5_PCS1</t>
    <phoneticPr fontId="12" type="noConversion"/>
  </si>
  <si>
    <t>SPI5_PCS0</t>
    <phoneticPr fontId="12" type="noConversion"/>
  </si>
  <si>
    <t>SPI5_SIN</t>
    <phoneticPr fontId="12" type="noConversion"/>
  </si>
  <si>
    <t>SPI5_SOUT</t>
    <phoneticPr fontId="12" type="noConversion"/>
  </si>
  <si>
    <t>SPI0_PCS4</t>
    <phoneticPr fontId="12" type="noConversion"/>
  </si>
  <si>
    <t>SPI2_PCS3</t>
    <phoneticPr fontId="12" type="noConversion"/>
  </si>
  <si>
    <t>SPI1_PCS4</t>
    <phoneticPr fontId="12" type="noConversion"/>
  </si>
  <si>
    <t>SPI3_SOUT</t>
    <phoneticPr fontId="12" type="noConversion"/>
  </si>
  <si>
    <t>SPI5_PCS2</t>
    <phoneticPr fontId="12" type="noConversion"/>
  </si>
  <si>
    <t>PTD_29</t>
    <phoneticPr fontId="12" type="noConversion"/>
  </si>
  <si>
    <t>SPI5_PCS3</t>
    <phoneticPr fontId="12" type="noConversion"/>
  </si>
  <si>
    <t>SPI5_SCK</t>
    <phoneticPr fontId="12" type="noConversion"/>
  </si>
  <si>
    <t>SPI3_PCS2</t>
    <phoneticPr fontId="12" type="noConversion"/>
  </si>
  <si>
    <t>SPI3_PCS3</t>
    <phoneticPr fontId="12" type="noConversion"/>
  </si>
  <si>
    <t>SPI0_PCS5</t>
    <phoneticPr fontId="12" type="noConversion"/>
  </si>
  <si>
    <t>SPI0_PCS6</t>
    <phoneticPr fontId="12" type="noConversion"/>
  </si>
  <si>
    <t>SPI0_PCS7</t>
    <phoneticPr fontId="12" type="noConversion"/>
  </si>
  <si>
    <t>I2C</t>
    <phoneticPr fontId="12" type="noConversion"/>
  </si>
  <si>
    <t>I2C0_SCL</t>
    <phoneticPr fontId="12" type="noConversion"/>
  </si>
  <si>
    <t>I2C0_SDA</t>
    <phoneticPr fontId="12" type="noConversion"/>
  </si>
  <si>
    <t>I2C2_SDA</t>
    <phoneticPr fontId="12" type="noConversion"/>
  </si>
  <si>
    <t>I2C2_SCL</t>
    <phoneticPr fontId="12" type="noConversion"/>
  </si>
  <si>
    <t>I2C1_SDA</t>
    <phoneticPr fontId="12" type="noConversion"/>
  </si>
  <si>
    <t>I2C1_SCL</t>
    <phoneticPr fontId="12" type="noConversion"/>
  </si>
  <si>
    <t>PTB_20</t>
    <phoneticPr fontId="12" type="noConversion"/>
  </si>
  <si>
    <t>PTB_21</t>
    <phoneticPr fontId="12" type="noConversion"/>
  </si>
  <si>
    <t>PTD_19</t>
    <phoneticPr fontId="12" type="noConversion"/>
  </si>
  <si>
    <t>TMU</t>
    <phoneticPr fontId="12" type="noConversion"/>
  </si>
  <si>
    <t>TMU_IN6</t>
    <phoneticPr fontId="12" type="noConversion"/>
  </si>
  <si>
    <t>TMU_IN0</t>
    <phoneticPr fontId="12" type="noConversion"/>
  </si>
  <si>
    <t>TMU_IN1</t>
    <phoneticPr fontId="12" type="noConversion"/>
  </si>
  <si>
    <t>TMU_IN7</t>
    <phoneticPr fontId="12" type="noConversion"/>
  </si>
  <si>
    <t>TMU_IN8</t>
    <phoneticPr fontId="12" type="noConversion"/>
  </si>
  <si>
    <t>TMU_IN9</t>
    <phoneticPr fontId="12" type="noConversion"/>
  </si>
  <si>
    <t>TMU_IN2</t>
    <phoneticPr fontId="12" type="noConversion"/>
  </si>
  <si>
    <t>TMU_IN3</t>
    <phoneticPr fontId="12" type="noConversion"/>
  </si>
  <si>
    <t>TMU_IN10</t>
    <phoneticPr fontId="12" type="noConversion"/>
  </si>
  <si>
    <t>TMU_IN11</t>
    <phoneticPr fontId="12" type="noConversion"/>
  </si>
  <si>
    <t>TMU_IN4</t>
    <phoneticPr fontId="12" type="noConversion"/>
  </si>
  <si>
    <t>TMU_IN5</t>
    <phoneticPr fontId="12" type="noConversion"/>
  </si>
  <si>
    <t>TMU_OUT7</t>
    <phoneticPr fontId="12" type="noConversion"/>
  </si>
  <si>
    <t>TMU_OUT6</t>
    <phoneticPr fontId="12" type="noConversion"/>
  </si>
  <si>
    <t>TMU_OUT1</t>
    <phoneticPr fontId="12" type="noConversion"/>
  </si>
  <si>
    <t>TMU_OUT5</t>
    <phoneticPr fontId="12" type="noConversion"/>
  </si>
  <si>
    <t>TMU_OUT4</t>
    <phoneticPr fontId="12" type="noConversion"/>
  </si>
  <si>
    <t>TMU_OUT2</t>
    <phoneticPr fontId="12" type="noConversion"/>
  </si>
  <si>
    <t>TMU_OUT0</t>
    <phoneticPr fontId="12" type="noConversion"/>
  </si>
  <si>
    <t>TMU_OUT3</t>
    <phoneticPr fontId="12" type="noConversion"/>
  </si>
  <si>
    <t>lpTMR</t>
    <phoneticPr fontId="12" type="noConversion"/>
  </si>
  <si>
    <t>LPTMR0_ALT1</t>
    <phoneticPr fontId="12" type="noConversion"/>
  </si>
  <si>
    <t>LPTMR0_ALT2</t>
    <phoneticPr fontId="12" type="noConversion"/>
  </si>
  <si>
    <t>LPTMR0_ALT3</t>
    <phoneticPr fontId="12" type="noConversion"/>
  </si>
  <si>
    <t>CLKOUT</t>
    <phoneticPr fontId="12" type="noConversion"/>
  </si>
  <si>
    <t>SCU_CLKOUT</t>
    <phoneticPr fontId="12" type="noConversion"/>
  </si>
  <si>
    <t>RTC_CLKOUT</t>
    <phoneticPr fontId="12" type="noConversion"/>
  </si>
  <si>
    <r>
      <t>P</t>
    </r>
    <r>
      <rPr>
        <sz val="11"/>
        <color theme="1"/>
        <rFont val="等线"/>
        <family val="3"/>
        <charset val="134"/>
        <scheme val="minor"/>
      </rPr>
      <t>TE_14</t>
    </r>
    <phoneticPr fontId="12" type="noConversion"/>
  </si>
  <si>
    <r>
      <t>P</t>
    </r>
    <r>
      <rPr>
        <sz val="11"/>
        <color theme="1"/>
        <rFont val="等线"/>
        <family val="3"/>
        <charset val="134"/>
        <scheme val="minor"/>
      </rPr>
      <t>TE_9</t>
    </r>
    <phoneticPr fontId="12" type="noConversion"/>
  </si>
  <si>
    <r>
      <t>A</t>
    </r>
    <r>
      <rPr>
        <sz val="11"/>
        <color theme="1"/>
        <rFont val="等线"/>
        <family val="3"/>
        <charset val="134"/>
        <scheme val="minor"/>
      </rPr>
      <t>LT7</t>
    </r>
    <phoneticPr fontId="12" type="noConversion"/>
  </si>
  <si>
    <t>TCLK_IN</t>
    <phoneticPr fontId="12" type="noConversion"/>
  </si>
  <si>
    <t>TCLK_IN2</t>
    <phoneticPr fontId="12" type="noConversion"/>
  </si>
  <si>
    <t>TCLK_IN1</t>
    <phoneticPr fontId="12" type="noConversion"/>
  </si>
  <si>
    <r>
      <t>P</t>
    </r>
    <r>
      <rPr>
        <sz val="11"/>
        <color theme="1"/>
        <rFont val="等线"/>
        <family val="3"/>
        <charset val="134"/>
        <scheme val="minor"/>
      </rPr>
      <t>TA_5</t>
    </r>
    <phoneticPr fontId="12" type="noConversion"/>
  </si>
  <si>
    <t>TCLK_IN0</t>
    <phoneticPr fontId="12" type="noConversion"/>
  </si>
  <si>
    <t>CAN</t>
    <phoneticPr fontId="12" type="noConversion"/>
  </si>
  <si>
    <t>CAN3_TX</t>
    <phoneticPr fontId="12" type="noConversion"/>
  </si>
  <si>
    <t>CAN3_RX</t>
    <phoneticPr fontId="12" type="noConversion"/>
  </si>
  <si>
    <t>CAN0_TX</t>
    <phoneticPr fontId="12" type="noConversion"/>
  </si>
  <si>
    <t>CAN0_RX</t>
    <phoneticPr fontId="12" type="noConversion"/>
  </si>
  <si>
    <t>CAN2_TX</t>
    <phoneticPr fontId="12" type="noConversion"/>
  </si>
  <si>
    <t>CAN2_RX</t>
    <phoneticPr fontId="12" type="noConversion"/>
  </si>
  <si>
    <t>CAN1_TX</t>
    <phoneticPr fontId="12" type="noConversion"/>
  </si>
  <si>
    <t>CAN1_RX</t>
    <phoneticPr fontId="12" type="noConversion"/>
  </si>
  <si>
    <r>
      <t>P</t>
    </r>
    <r>
      <rPr>
        <sz val="11"/>
        <color theme="1"/>
        <rFont val="等线"/>
        <family val="3"/>
        <charset val="134"/>
        <scheme val="minor"/>
      </rPr>
      <t>TE_23</t>
    </r>
    <phoneticPr fontId="12" type="noConversion"/>
  </si>
  <si>
    <t>ADC</t>
    <phoneticPr fontId="12" type="noConversion"/>
  </si>
  <si>
    <t>ADC0_S16</t>
    <phoneticPr fontId="12" type="noConversion"/>
  </si>
  <si>
    <t>ADC0_S17</t>
    <phoneticPr fontId="12" type="noConversion"/>
  </si>
  <si>
    <t>ADC0_S18</t>
    <phoneticPr fontId="12" type="noConversion"/>
  </si>
  <si>
    <t>ADC0_S11/CMP0_IN4</t>
    <phoneticPr fontId="12" type="noConversion"/>
  </si>
  <si>
    <t>ADC0_S10/CMP0_IN5/DPDWK_IN1</t>
    <phoneticPr fontId="12" type="noConversion"/>
  </si>
  <si>
    <t>ADC0_S9</t>
    <phoneticPr fontId="12" type="noConversion"/>
  </si>
  <si>
    <t>ADC0_S8/DPDWK_IN0</t>
    <phoneticPr fontId="12" type="noConversion"/>
  </si>
  <si>
    <t>ADC0_S15</t>
    <phoneticPr fontId="12" type="noConversion"/>
  </si>
  <si>
    <t>ADC0_S14</t>
    <phoneticPr fontId="12" type="noConversion"/>
  </si>
  <si>
    <t>ADC0_S19</t>
    <phoneticPr fontId="12" type="noConversion"/>
  </si>
  <si>
    <t>ADC0_S13</t>
    <phoneticPr fontId="12" type="noConversion"/>
  </si>
  <si>
    <t>PTB_23</t>
    <phoneticPr fontId="12" type="noConversion"/>
  </si>
  <si>
    <t>ADC0_S20</t>
    <phoneticPr fontId="12" type="noConversion"/>
  </si>
  <si>
    <t>ADC0_S12</t>
    <phoneticPr fontId="12" type="noConversion"/>
  </si>
  <si>
    <t>ADC0_S21</t>
    <phoneticPr fontId="12" type="noConversion"/>
  </si>
  <si>
    <t>ADC0_S7</t>
    <phoneticPr fontId="12" type="noConversion"/>
  </si>
  <si>
    <t>ADC0_S22</t>
    <phoneticPr fontId="12" type="noConversion"/>
  </si>
  <si>
    <t>ADC0_S23</t>
    <phoneticPr fontId="12" type="noConversion"/>
  </si>
  <si>
    <t>ADC0_S6</t>
    <phoneticPr fontId="12" type="noConversion"/>
  </si>
  <si>
    <t>ADC1_S25/ADC0_S5</t>
    <phoneticPr fontId="12" type="noConversion"/>
  </si>
  <si>
    <t>ADC1_S24/ADC0_S4</t>
    <phoneticPr fontId="12" type="noConversion"/>
  </si>
  <si>
    <t>ADC0_S3</t>
    <phoneticPr fontId="12" type="noConversion"/>
  </si>
  <si>
    <t>ADC0_S2</t>
    <phoneticPr fontId="12" type="noConversion"/>
  </si>
  <si>
    <t>ADC1_S16</t>
    <phoneticPr fontId="12" type="noConversion"/>
  </si>
  <si>
    <t>ADC1_S17</t>
    <phoneticPr fontId="12" type="noConversion"/>
  </si>
  <si>
    <t>ADC1_S15</t>
    <phoneticPr fontId="12" type="noConversion"/>
  </si>
  <si>
    <t>ADC1_S14</t>
    <phoneticPr fontId="12" type="noConversion"/>
  </si>
  <si>
    <t>ADC1_S9/ADC0_S25</t>
    <phoneticPr fontId="12" type="noConversion"/>
  </si>
  <si>
    <t>ADC1_S8/ADC0_S24</t>
    <phoneticPr fontId="12" type="noConversion"/>
  </si>
  <si>
    <t>ADC1_S7</t>
    <phoneticPr fontId="12" type="noConversion"/>
  </si>
  <si>
    <t>ADC1_S18</t>
    <phoneticPr fontId="12" type="noConversion"/>
  </si>
  <si>
    <t>ADC1_S6</t>
    <phoneticPr fontId="12" type="noConversion"/>
  </si>
  <si>
    <t>ADC1_S3</t>
    <phoneticPr fontId="12" type="noConversion"/>
  </si>
  <si>
    <t>ADC1_S2</t>
    <phoneticPr fontId="12" type="noConversion"/>
  </si>
  <si>
    <t>ADC1_S19</t>
    <phoneticPr fontId="12" type="noConversion"/>
  </si>
  <si>
    <t>ADC1_S1</t>
    <phoneticPr fontId="12" type="noConversion"/>
  </si>
  <si>
    <t>ADC1_S0</t>
    <phoneticPr fontId="12" type="noConversion"/>
  </si>
  <si>
    <t>PTD_24</t>
    <phoneticPr fontId="12" type="noConversion"/>
  </si>
  <si>
    <t>ADC1_S20</t>
    <phoneticPr fontId="12" type="noConversion"/>
  </si>
  <si>
    <t>PTD_27</t>
    <phoneticPr fontId="12" type="noConversion"/>
  </si>
  <si>
    <t>ADC1_S21</t>
    <phoneticPr fontId="12" type="noConversion"/>
  </si>
  <si>
    <t>PTD_28</t>
    <phoneticPr fontId="12" type="noConversion"/>
  </si>
  <si>
    <t>ADC1_S22</t>
    <phoneticPr fontId="12" type="noConversion"/>
  </si>
  <si>
    <t>ADC0_S1/CMP0_IN1</t>
    <phoneticPr fontId="12" type="noConversion"/>
  </si>
  <si>
    <t>ADC1_S23</t>
    <phoneticPr fontId="12" type="noConversion"/>
  </si>
  <si>
    <t>ADC0_S0/CMP0_IN0</t>
    <phoneticPr fontId="12" type="noConversion"/>
  </si>
  <si>
    <t>ADC1_S5</t>
    <phoneticPr fontId="12" type="noConversion"/>
  </si>
  <si>
    <t>ADC1_S4/DPDWK_IN2</t>
    <phoneticPr fontId="12" type="noConversion"/>
  </si>
  <si>
    <t>ADC1_S13</t>
    <phoneticPr fontId="12" type="noConversion"/>
  </si>
  <si>
    <t>ADC1_S12</t>
    <phoneticPr fontId="12" type="noConversion"/>
  </si>
  <si>
    <t>ADC1_S11</t>
    <phoneticPr fontId="12" type="noConversion"/>
  </si>
  <si>
    <t>ADC1_S10</t>
    <phoneticPr fontId="12" type="noConversion"/>
  </si>
  <si>
    <t>ACMP</t>
    <phoneticPr fontId="12" type="noConversion"/>
  </si>
  <si>
    <t>ACMP0_IN3</t>
    <phoneticPr fontId="12" type="noConversion"/>
  </si>
  <si>
    <t>ADC0_SE11/ACMP0_IN4</t>
    <phoneticPr fontId="12" type="noConversion"/>
  </si>
  <si>
    <t>ADC0_SE10/ACMP0_IN5</t>
    <phoneticPr fontId="12" type="noConversion"/>
  </si>
  <si>
    <t>ACMP0_IN6</t>
    <phoneticPr fontId="12" type="noConversion"/>
  </si>
  <si>
    <t>ACMP0_IN7</t>
    <phoneticPr fontId="12" type="noConversion"/>
  </si>
  <si>
    <t>ADC0_SE1/ACMP0_IN1</t>
    <phoneticPr fontId="12" type="noConversion"/>
  </si>
  <si>
    <t>ADC0_SE0/ACMP0_IN0</t>
    <phoneticPr fontId="12" type="noConversion"/>
  </si>
  <si>
    <t>ACMP0_IN2</t>
    <phoneticPr fontId="12" type="noConversion"/>
  </si>
  <si>
    <t>ACMP0_OUT</t>
    <phoneticPr fontId="12" type="noConversion"/>
  </si>
  <si>
    <t>ACMP0_ACTIVE</t>
    <phoneticPr fontId="12" type="noConversion"/>
  </si>
  <si>
    <r>
      <t>P</t>
    </r>
    <r>
      <rPr>
        <sz val="11"/>
        <color theme="1"/>
        <rFont val="等线"/>
        <family val="3"/>
        <charset val="134"/>
        <scheme val="minor"/>
      </rPr>
      <t>TD_14</t>
    </r>
    <phoneticPr fontId="12" type="noConversion"/>
  </si>
  <si>
    <t>LINFlexD</t>
    <phoneticPr fontId="12" type="noConversion"/>
  </si>
  <si>
    <t>UART1_RTS</t>
    <phoneticPr fontId="12" type="noConversion"/>
  </si>
  <si>
    <t>UART1_CTS</t>
    <phoneticPr fontId="12" type="noConversion"/>
  </si>
  <si>
    <t>UART3_TX</t>
    <phoneticPr fontId="12" type="noConversion"/>
  </si>
  <si>
    <t>UART3_RX</t>
    <phoneticPr fontId="12" type="noConversion"/>
  </si>
  <si>
    <t>UART2_TX</t>
    <phoneticPr fontId="12" type="noConversion"/>
  </si>
  <si>
    <t>UART2_RX</t>
    <phoneticPr fontId="12" type="noConversion"/>
  </si>
  <si>
    <t>UART4_TX</t>
    <phoneticPr fontId="12" type="noConversion"/>
  </si>
  <si>
    <t>UART4_RX</t>
    <phoneticPr fontId="12" type="noConversion"/>
  </si>
  <si>
    <t>UART0_TX</t>
    <phoneticPr fontId="12" type="noConversion"/>
  </si>
  <si>
    <t>UART0_RX</t>
    <phoneticPr fontId="12" type="noConversion"/>
  </si>
  <si>
    <t>UART1_TX</t>
    <phoneticPr fontId="12" type="noConversion"/>
  </si>
  <si>
    <t>UART1_RX</t>
    <phoneticPr fontId="12" type="noConversion"/>
  </si>
  <si>
    <t>UART5_TX</t>
    <phoneticPr fontId="12" type="noConversion"/>
  </si>
  <si>
    <t>UART5_RX</t>
    <phoneticPr fontId="12" type="noConversion"/>
  </si>
  <si>
    <t>UART0_RTS</t>
    <phoneticPr fontId="12" type="noConversion"/>
  </si>
  <si>
    <t>UART0_CTS</t>
    <phoneticPr fontId="12" type="noConversion"/>
  </si>
  <si>
    <t>UART2_CTS</t>
    <phoneticPr fontId="12" type="noConversion"/>
  </si>
  <si>
    <t>UART2_RTS</t>
    <phoneticPr fontId="12" type="noConversion"/>
  </si>
  <si>
    <t>EWDG</t>
    <phoneticPr fontId="12" type="noConversion"/>
  </si>
  <si>
    <t>EWDG_OUT_b</t>
    <phoneticPr fontId="12" type="noConversion"/>
  </si>
  <si>
    <t>EWDG_IN</t>
    <phoneticPr fontId="12" type="noConversion"/>
  </si>
  <si>
    <t>NMI</t>
    <phoneticPr fontId="12" type="noConversion"/>
  </si>
  <si>
    <t>NMI_b</t>
    <phoneticPr fontId="12" type="noConversion"/>
  </si>
  <si>
    <t>WKU</t>
    <phoneticPr fontId="12" type="noConversion"/>
  </si>
  <si>
    <t>WKU[0]</t>
    <phoneticPr fontId="12" type="noConversion"/>
  </si>
  <si>
    <t>WKU[1]</t>
    <phoneticPr fontId="12" type="noConversion"/>
  </si>
  <si>
    <t>WKU[2]</t>
    <phoneticPr fontId="12" type="noConversion"/>
  </si>
  <si>
    <t>WKU[3]</t>
    <phoneticPr fontId="12" type="noConversion"/>
  </si>
  <si>
    <t>WKU[4]</t>
    <phoneticPr fontId="12" type="noConversion"/>
  </si>
  <si>
    <t>WKU[7]</t>
    <phoneticPr fontId="12" type="noConversion"/>
  </si>
  <si>
    <t>WKU[8]</t>
    <phoneticPr fontId="12" type="noConversion"/>
  </si>
  <si>
    <t>WKU[9]</t>
    <phoneticPr fontId="12" type="noConversion"/>
  </si>
  <si>
    <t>WKU[10]</t>
    <phoneticPr fontId="12" type="noConversion"/>
  </si>
  <si>
    <t>WKU[11]</t>
    <phoneticPr fontId="12" type="noConversion"/>
  </si>
  <si>
    <t>WKU[12]</t>
    <phoneticPr fontId="12" type="noConversion"/>
  </si>
  <si>
    <t>WKU[13]</t>
    <phoneticPr fontId="12" type="noConversion"/>
  </si>
  <si>
    <t>WKU[14]</t>
    <phoneticPr fontId="12" type="noConversion"/>
  </si>
  <si>
    <t>WKU[15]</t>
    <phoneticPr fontId="12" type="noConversion"/>
  </si>
  <si>
    <t>WKU[16]</t>
    <phoneticPr fontId="12" type="noConversion"/>
  </si>
  <si>
    <t>WKU[17]</t>
    <phoneticPr fontId="12" type="noConversion"/>
  </si>
  <si>
    <t>WKU[18]</t>
    <phoneticPr fontId="12" type="noConversion"/>
  </si>
  <si>
    <t>WKU[19]</t>
    <phoneticPr fontId="12" type="noConversion"/>
  </si>
  <si>
    <t>WKU[20]</t>
    <phoneticPr fontId="12" type="noConversion"/>
  </si>
  <si>
    <t>WKU[21]</t>
    <phoneticPr fontId="12" type="noConversion"/>
  </si>
  <si>
    <t>WKU[22]</t>
    <phoneticPr fontId="12" type="noConversion"/>
  </si>
  <si>
    <t>WKU[23]</t>
    <phoneticPr fontId="12" type="noConversion"/>
  </si>
  <si>
    <t>WKU[24]</t>
    <phoneticPr fontId="12" type="noConversion"/>
  </si>
  <si>
    <t>WKU[25]</t>
    <phoneticPr fontId="12" type="noConversion"/>
  </si>
  <si>
    <t>WKU[26]</t>
    <phoneticPr fontId="12" type="noConversion"/>
  </si>
  <si>
    <t>WKU[27]</t>
    <phoneticPr fontId="12" type="noConversion"/>
  </si>
  <si>
    <t>WKU[28]</t>
    <phoneticPr fontId="12" type="noConversion"/>
  </si>
  <si>
    <t>WKU[29]</t>
    <phoneticPr fontId="12" type="noConversion"/>
  </si>
  <si>
    <t>WKU[30]</t>
    <phoneticPr fontId="12" type="noConversion"/>
  </si>
  <si>
    <t>WKU[31]</t>
    <phoneticPr fontId="12" type="noConversion"/>
  </si>
  <si>
    <t>WKU[5]</t>
    <phoneticPr fontId="12" type="noConversion"/>
  </si>
  <si>
    <t>WKU[6]</t>
    <phoneticPr fontId="12" type="noConversion"/>
  </si>
  <si>
    <t>Peripheral</t>
  </si>
  <si>
    <t>PIN Name</t>
  </si>
  <si>
    <t>PIN Function</t>
  </si>
  <si>
    <t>ALT Select</t>
  </si>
  <si>
    <t>144 QFN PIN Number</t>
    <phoneticPr fontId="10" type="noConversion"/>
  </si>
  <si>
    <t>100 LQFP PIN Number</t>
    <phoneticPr fontId="10" type="noConversion"/>
  </si>
  <si>
    <t>64 LQFP PIN Number</t>
    <phoneticPr fontId="10" type="noConversion"/>
  </si>
  <si>
    <t>Update Peripheral-associated PINs, add support pullup/pulldown, slew rate, high drive, pin filter, remove LQFP48 package</t>
    <phoneticPr fontId="10" type="noConversion"/>
  </si>
  <si>
    <t>FXOSC</t>
    <phoneticPr fontId="10" type="noConversion"/>
  </si>
  <si>
    <t>SXOSC</t>
    <phoneticPr fontId="10" type="noConversion"/>
  </si>
  <si>
    <t>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</si>
</sst>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34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trike/>
      <sz val="11"/>
      <name val="Calibri"/>
      <family val="2"/>
    </font>
    <font>
      <sz val="11"/>
      <color theme="1"/>
      <name val="等线"/>
      <family val="3"/>
      <charset val="134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Tahoma"/>
      <family val="2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6" fillId="0" borderId="0"/>
    <xf numFmtId="0" fontId="6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 applyProtection="0"/>
    <xf numFmtId="0" fontId="9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7" applyFont="1"/>
    <xf numFmtId="0" fontId="9" fillId="0" borderId="0" xfId="7"/>
    <xf numFmtId="0" fontId="2" fillId="0" borderId="0" xfId="7" applyFont="1"/>
    <xf numFmtId="0" fontId="2" fillId="0" borderId="1" xfId="7" applyFont="1" applyBorder="1"/>
    <xf numFmtId="0" fontId="3" fillId="0" borderId="1" xfId="6" applyFont="1" applyBorder="1" applyAlignment="1">
      <alignment horizontal="center"/>
    </xf>
    <xf numFmtId="0" fontId="2" fillId="0" borderId="1" xfId="7" applyFont="1" applyBorder="1" applyAlignment="1">
      <alignment horizontal="center"/>
    </xf>
    <xf numFmtId="0" fontId="3" fillId="0" borderId="1" xfId="7" applyFont="1" applyBorder="1" applyAlignment="1">
      <alignment horizontal="center"/>
    </xf>
    <xf numFmtId="0" fontId="4" fillId="0" borderId="1" xfId="7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</cellXfs>
  <cellStyles count="26">
    <cellStyle name="Hyperlink 2" xfId="1" xr:uid="{00000000-0005-0000-0000-000031000000}"/>
    <cellStyle name="Hyperlink 3" xfId="2" xr:uid="{00000000-0005-0000-0000-000032000000}"/>
    <cellStyle name="Normal 2" xfId="3" xr:uid="{00000000-0005-0000-0000-000033000000}"/>
    <cellStyle name="Normal 2 2" xfId="4" xr:uid="{00000000-0005-0000-0000-000034000000}"/>
    <cellStyle name="Normal 2 3" xfId="5" xr:uid="{00000000-0005-0000-0000-000035000000}"/>
    <cellStyle name="Normal 2 3 2" xfId="6" xr:uid="{00000000-0005-0000-0000-000036000000}"/>
    <cellStyle name="Normal 2 4" xfId="7" xr:uid="{00000000-0005-0000-0000-000037000000}"/>
    <cellStyle name="Normal 2 4 2" xfId="8" xr:uid="{00000000-0005-0000-0000-000038000000}"/>
    <cellStyle name="Normal 2 5" xfId="9" xr:uid="{00000000-0005-0000-0000-000039000000}"/>
    <cellStyle name="Normal 3" xfId="10" xr:uid="{00000000-0005-0000-0000-00003A000000}"/>
    <cellStyle name="Normal 3 2" xfId="11" xr:uid="{00000000-0005-0000-0000-00003B000000}"/>
    <cellStyle name="Normal 3 3" xfId="12" xr:uid="{00000000-0005-0000-0000-00003C000000}"/>
    <cellStyle name="Normal 3 3 2" xfId="13" xr:uid="{00000000-0005-0000-0000-00003D000000}"/>
    <cellStyle name="Normal 3 3 2 2" xfId="14" xr:uid="{00000000-0005-0000-0000-00003E000000}"/>
    <cellStyle name="Normal 4" xfId="15" xr:uid="{00000000-0005-0000-0000-00003F000000}"/>
    <cellStyle name="Normal 5" xfId="16" xr:uid="{00000000-0005-0000-0000-000040000000}"/>
    <cellStyle name="Normal 6" xfId="17" xr:uid="{00000000-0005-0000-0000-000041000000}"/>
    <cellStyle name="Normal 7" xfId="18" xr:uid="{00000000-0005-0000-0000-000042000000}"/>
    <cellStyle name="Normal 7 2" xfId="19" xr:uid="{00000000-0005-0000-0000-000043000000}"/>
    <cellStyle name="Normal 7 3" xfId="20" xr:uid="{00000000-0005-0000-0000-000044000000}"/>
    <cellStyle name="Normal 8" xfId="21" xr:uid="{00000000-0005-0000-0000-000045000000}"/>
    <cellStyle name="Normal 8 2" xfId="22" xr:uid="{00000000-0005-0000-0000-000046000000}"/>
    <cellStyle name="標準 2" xfId="23" xr:uid="{00000000-0005-0000-0000-000047000000}"/>
    <cellStyle name="標準 2 2" xfId="24" xr:uid="{00000000-0005-0000-0000-000048000000}"/>
    <cellStyle name="常规" xfId="0" builtinId="0"/>
    <cellStyle name="常规 2" xfId="25" xr:uid="{00000000-0005-0000-0000-000049000000}"/>
  </cellStyles>
  <dxfs count="2"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U145"/>
  <sheetViews>
    <sheetView tabSelected="1" zoomScale="115" zoomScaleNormal="115" workbookViewId="0">
      <pane xSplit="6" ySplit="1" topLeftCell="G2" activePane="bottomRight" state="frozen"/>
      <selection pane="topRight"/>
      <selection pane="bottomLeft"/>
      <selection pane="bottomRight" activeCell="S147" sqref="S147"/>
    </sheetView>
  </sheetViews>
  <sheetFormatPr defaultColWidth="17" defaultRowHeight="14.4" x14ac:dyDescent="0.3"/>
  <cols>
    <col min="1" max="1" width="4.44140625" style="8" customWidth="1"/>
    <col min="2" max="2" width="12.21875" style="8" customWidth="1"/>
    <col min="3" max="4" width="13.21875" style="8" customWidth="1"/>
    <col min="5" max="5" width="53.77734375" style="8" hidden="1" customWidth="1"/>
    <col min="6" max="6" width="11.33203125" style="8" customWidth="1"/>
    <col min="7" max="7" width="31.5546875" style="8" customWidth="1"/>
    <col min="8" max="8" width="33" style="9" customWidth="1"/>
    <col min="9" max="9" width="10.109375" style="9" customWidth="1"/>
    <col min="10" max="10" width="15.21875" style="9" customWidth="1"/>
    <col min="11" max="13" width="15.6640625" style="9" customWidth="1"/>
    <col min="14" max="14" width="20.109375" style="9" customWidth="1"/>
    <col min="15" max="15" width="21" style="9" customWidth="1"/>
    <col min="16" max="16" width="29.5546875" style="9" bestFit="1" customWidth="1"/>
    <col min="17" max="17" width="22.109375" style="9" bestFit="1" customWidth="1"/>
    <col min="18" max="18" width="22.88671875" style="9" bestFit="1" customWidth="1"/>
    <col min="19" max="19" width="21" style="9" customWidth="1"/>
    <col min="20" max="20" width="12.33203125" style="9" bestFit="1" customWidth="1"/>
    <col min="21" max="21" width="17.109375" style="8" bestFit="1" customWidth="1"/>
    <col min="22" max="16384" width="17" style="8"/>
  </cols>
  <sheetData>
    <row r="1" spans="1:21" x14ac:dyDescent="0.3">
      <c r="A1" s="10" t="s">
        <v>0</v>
      </c>
      <c r="B1" s="11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441</v>
      </c>
      <c r="Q1" s="13" t="s">
        <v>442</v>
      </c>
      <c r="R1" s="13" t="s">
        <v>443</v>
      </c>
      <c r="S1" s="13" t="s">
        <v>444</v>
      </c>
      <c r="T1" s="13" t="s">
        <v>15</v>
      </c>
      <c r="U1" s="13" t="s">
        <v>16</v>
      </c>
    </row>
    <row r="2" spans="1:21" x14ac:dyDescent="0.3">
      <c r="A2" s="10">
        <v>1</v>
      </c>
      <c r="B2" s="12"/>
      <c r="C2" s="12">
        <v>1</v>
      </c>
      <c r="D2" s="12">
        <v>1</v>
      </c>
      <c r="E2" s="12" t="e">
        <f ca="1">_xlfn.TEXTJOIN(" ",TRUE,"ID:",A2," 48LQFP:",#REF!,"64LQFP:",B2," 100LQFP:",C2," 144LQFP:",D2)</f>
        <v>#NAME?</v>
      </c>
      <c r="F2" s="12" t="s">
        <v>17</v>
      </c>
      <c r="G2" s="14"/>
      <c r="H2" s="14"/>
      <c r="I2" s="12" t="s">
        <v>17</v>
      </c>
      <c r="J2" s="12" t="s">
        <v>18</v>
      </c>
      <c r="K2" s="12" t="s">
        <v>19</v>
      </c>
      <c r="L2" s="12" t="s">
        <v>20</v>
      </c>
      <c r="M2" s="12"/>
      <c r="N2" s="14"/>
      <c r="O2" s="12" t="s">
        <v>21</v>
      </c>
      <c r="P2" s="12" t="s">
        <v>445</v>
      </c>
      <c r="Q2" s="12" t="s">
        <v>445</v>
      </c>
      <c r="R2" s="12" t="s">
        <v>904</v>
      </c>
      <c r="S2" s="12" t="s">
        <v>446</v>
      </c>
      <c r="T2" s="12"/>
      <c r="U2" s="12" t="s">
        <v>22</v>
      </c>
    </row>
    <row r="3" spans="1:21" x14ac:dyDescent="0.3">
      <c r="A3" s="10">
        <v>2</v>
      </c>
      <c r="B3" s="12"/>
      <c r="C3" s="12">
        <v>2</v>
      </c>
      <c r="D3" s="12">
        <v>2</v>
      </c>
      <c r="E3" s="12" t="e">
        <f ca="1">_xlfn.TEXTJOIN(" ",TRUE,"ID:",A3," 48LQFP:",#REF!,"64LQFP:",B3," 100LQFP:",C3," 144LQFP:",D3)</f>
        <v>#NAME?</v>
      </c>
      <c r="F3" s="12" t="s">
        <v>23</v>
      </c>
      <c r="G3" s="14"/>
      <c r="H3" s="14"/>
      <c r="I3" s="12" t="s">
        <v>23</v>
      </c>
      <c r="J3" s="12" t="s">
        <v>24</v>
      </c>
      <c r="K3" s="12" t="s">
        <v>25</v>
      </c>
      <c r="L3" s="12" t="s">
        <v>26</v>
      </c>
      <c r="M3" s="12"/>
      <c r="N3" s="14"/>
      <c r="O3" s="12" t="s">
        <v>27</v>
      </c>
      <c r="P3" s="12" t="s">
        <v>445</v>
      </c>
      <c r="Q3" s="12" t="s">
        <v>445</v>
      </c>
      <c r="R3" s="12" t="s">
        <v>904</v>
      </c>
      <c r="S3" s="12" t="s">
        <v>446</v>
      </c>
      <c r="T3" s="12"/>
      <c r="U3" s="12" t="s">
        <v>22</v>
      </c>
    </row>
    <row r="4" spans="1:21" x14ac:dyDescent="0.3">
      <c r="A4" s="10">
        <v>3</v>
      </c>
      <c r="B4" s="12">
        <v>1</v>
      </c>
      <c r="C4" s="12">
        <v>3</v>
      </c>
      <c r="D4" s="12">
        <v>3</v>
      </c>
      <c r="E4" s="12" t="e">
        <f ca="1">_xlfn.TEXTJOIN(" ",TRUE,"ID:",A4," 48LQFP:",#REF!,"64LQFP:",B4," 100LQFP:",C4," 144LQFP:",D4)</f>
        <v>#NAME?</v>
      </c>
      <c r="F4" s="12" t="s">
        <v>28</v>
      </c>
      <c r="G4" s="12" t="s">
        <v>28</v>
      </c>
      <c r="H4" s="12" t="s">
        <v>28</v>
      </c>
      <c r="I4" s="12"/>
      <c r="J4" s="12"/>
      <c r="K4" s="12"/>
      <c r="L4" s="12"/>
      <c r="M4" s="12"/>
      <c r="N4" s="14"/>
      <c r="O4" s="15"/>
      <c r="P4" s="12" t="s">
        <v>445</v>
      </c>
      <c r="Q4" s="12" t="s">
        <v>445</v>
      </c>
      <c r="R4" s="12" t="s">
        <v>904</v>
      </c>
      <c r="S4" s="12" t="s">
        <v>446</v>
      </c>
      <c r="T4" s="10"/>
      <c r="U4" s="12" t="s">
        <v>28</v>
      </c>
    </row>
    <row r="5" spans="1:21" x14ac:dyDescent="0.3">
      <c r="A5" s="10">
        <v>4</v>
      </c>
      <c r="B5" s="12">
        <v>2</v>
      </c>
      <c r="C5" s="12">
        <v>4</v>
      </c>
      <c r="D5" s="12">
        <v>4</v>
      </c>
      <c r="E5" s="12" t="e">
        <f ca="1">_xlfn.TEXTJOIN(" ",TRUE,"ID:",A5," 48LQFP:",#REF!,"64LQFP:",B5," 100LQFP:",C5," 144LQFP:",D5)</f>
        <v>#NAME?</v>
      </c>
      <c r="F5" s="12" t="s">
        <v>29</v>
      </c>
      <c r="G5" s="14"/>
      <c r="H5" s="14"/>
      <c r="I5" s="12" t="s">
        <v>29</v>
      </c>
      <c r="J5" s="12" t="s">
        <v>30</v>
      </c>
      <c r="K5" s="12" t="s">
        <v>31</v>
      </c>
      <c r="L5" s="12" t="s">
        <v>32</v>
      </c>
      <c r="M5" s="12" t="s">
        <v>33</v>
      </c>
      <c r="N5" s="14"/>
      <c r="O5" s="15" t="s">
        <v>34</v>
      </c>
      <c r="P5" s="12" t="s">
        <v>445</v>
      </c>
      <c r="Q5" s="12" t="s">
        <v>445</v>
      </c>
      <c r="R5" s="12" t="s">
        <v>904</v>
      </c>
      <c r="S5" s="12" t="s">
        <v>446</v>
      </c>
      <c r="T5" s="10"/>
      <c r="U5" s="12" t="s">
        <v>22</v>
      </c>
    </row>
    <row r="6" spans="1:21" x14ac:dyDescent="0.3">
      <c r="A6" s="10">
        <v>5</v>
      </c>
      <c r="B6" s="12">
        <v>3</v>
      </c>
      <c r="C6" s="12">
        <v>5</v>
      </c>
      <c r="D6" s="12">
        <v>5</v>
      </c>
      <c r="E6" s="12" t="e">
        <f ca="1">_xlfn.TEXTJOIN(" ",TRUE,"ID:",A6," 48LQFP:",#REF!,"64LQFP:",B6," 100LQFP:",C6," 144LQFP:",D6)</f>
        <v>#NAME?</v>
      </c>
      <c r="F6" s="12" t="s">
        <v>35</v>
      </c>
      <c r="G6" s="14"/>
      <c r="H6" s="14"/>
      <c r="I6" s="12" t="s">
        <v>35</v>
      </c>
      <c r="J6" s="12" t="s">
        <v>36</v>
      </c>
      <c r="K6" s="12" t="s">
        <v>37</v>
      </c>
      <c r="L6" s="12" t="s">
        <v>38</v>
      </c>
      <c r="M6" s="12" t="s">
        <v>39</v>
      </c>
      <c r="N6" s="12" t="s">
        <v>33</v>
      </c>
      <c r="O6" s="12" t="s">
        <v>40</v>
      </c>
      <c r="P6" s="12" t="s">
        <v>445</v>
      </c>
      <c r="Q6" s="12" t="s">
        <v>445</v>
      </c>
      <c r="R6" s="12" t="s">
        <v>904</v>
      </c>
      <c r="S6" s="12" t="s">
        <v>446</v>
      </c>
      <c r="T6" s="15" t="s">
        <v>41</v>
      </c>
      <c r="U6" s="12" t="s">
        <v>22</v>
      </c>
    </row>
    <row r="7" spans="1:21" x14ac:dyDescent="0.3">
      <c r="A7" s="10">
        <v>6</v>
      </c>
      <c r="B7" s="12">
        <v>4</v>
      </c>
      <c r="C7" s="12">
        <v>6</v>
      </c>
      <c r="D7" s="12">
        <v>6</v>
      </c>
      <c r="E7" s="12" t="e">
        <f ca="1">_xlfn.TEXTJOIN(" ",TRUE,"ID:",A7," 48LQFP:",#REF!,"64LQFP:",B7," 100LQFP:",C7," 144LQFP:",D7)</f>
        <v>#NAME?</v>
      </c>
      <c r="F7" s="12" t="s">
        <v>42</v>
      </c>
      <c r="G7" s="14"/>
      <c r="H7" s="14"/>
      <c r="I7" s="12" t="s">
        <v>42</v>
      </c>
      <c r="J7" s="12" t="s">
        <v>43</v>
      </c>
      <c r="K7" s="12" t="s">
        <v>44</v>
      </c>
      <c r="L7" s="12" t="s">
        <v>45</v>
      </c>
      <c r="M7" s="12" t="s">
        <v>46</v>
      </c>
      <c r="N7" s="14"/>
      <c r="O7" s="12" t="s">
        <v>47</v>
      </c>
      <c r="P7" s="12" t="s">
        <v>445</v>
      </c>
      <c r="Q7" s="12" t="s">
        <v>445</v>
      </c>
      <c r="R7" s="12" t="s">
        <v>904</v>
      </c>
      <c r="S7" s="12" t="s">
        <v>446</v>
      </c>
      <c r="T7" s="15" t="s">
        <v>48</v>
      </c>
      <c r="U7" s="12" t="s">
        <v>22</v>
      </c>
    </row>
    <row r="8" spans="1:21" x14ac:dyDescent="0.3">
      <c r="A8" s="10">
        <v>7</v>
      </c>
      <c r="B8" s="12"/>
      <c r="C8" s="12">
        <v>7</v>
      </c>
      <c r="D8" s="12">
        <v>7</v>
      </c>
      <c r="E8" s="12" t="e">
        <f ca="1">_xlfn.TEXTJOIN(" ",TRUE,"ID:",A8," 48LQFP:",#REF!,"64LQFP:",B8," 100LQFP:",C8," 144LQFP:",D8)</f>
        <v>#NAME?</v>
      </c>
      <c r="F8" s="12" t="s">
        <v>49</v>
      </c>
      <c r="G8" s="14"/>
      <c r="H8" s="14"/>
      <c r="I8" s="12" t="s">
        <v>49</v>
      </c>
      <c r="J8" s="12" t="s">
        <v>50</v>
      </c>
      <c r="K8" s="12" t="s">
        <v>51</v>
      </c>
      <c r="L8" s="12" t="s">
        <v>52</v>
      </c>
      <c r="M8" s="12" t="s">
        <v>53</v>
      </c>
      <c r="N8" s="14"/>
      <c r="O8" s="12"/>
      <c r="P8" s="12" t="s">
        <v>445</v>
      </c>
      <c r="Q8" s="12" t="s">
        <v>445</v>
      </c>
      <c r="R8" s="12" t="s">
        <v>904</v>
      </c>
      <c r="S8" s="12" t="s">
        <v>446</v>
      </c>
      <c r="T8" s="10"/>
      <c r="U8" s="12" t="s">
        <v>22</v>
      </c>
    </row>
    <row r="9" spans="1:21" x14ac:dyDescent="0.3">
      <c r="A9" s="10">
        <v>8</v>
      </c>
      <c r="B9" s="12">
        <v>5</v>
      </c>
      <c r="C9" s="12">
        <v>8</v>
      </c>
      <c r="D9" s="12">
        <v>8</v>
      </c>
      <c r="E9" s="12" t="e">
        <f ca="1">_xlfn.TEXTJOIN(" ",TRUE,"ID:",A9," 48LQFP:",#REF!,"64LQFP:",B9," 100LQFP:",C9," 144LQFP:",D9)</f>
        <v>#NAME?</v>
      </c>
      <c r="F9" s="12" t="s">
        <v>54</v>
      </c>
      <c r="G9" s="12"/>
      <c r="H9" s="12"/>
      <c r="I9" s="12" t="s">
        <v>54</v>
      </c>
      <c r="J9" s="12" t="s">
        <v>55</v>
      </c>
      <c r="K9" s="12" t="s">
        <v>56</v>
      </c>
      <c r="L9" s="12" t="s">
        <v>57</v>
      </c>
      <c r="M9" s="12" t="s">
        <v>58</v>
      </c>
      <c r="N9" s="14"/>
      <c r="O9" s="15" t="s">
        <v>59</v>
      </c>
      <c r="P9" s="12" t="s">
        <v>445</v>
      </c>
      <c r="Q9" s="12" t="s">
        <v>445</v>
      </c>
      <c r="R9" s="12" t="s">
        <v>904</v>
      </c>
      <c r="S9" s="12" t="s">
        <v>446</v>
      </c>
      <c r="T9" s="15" t="s">
        <v>60</v>
      </c>
      <c r="U9" s="12" t="s">
        <v>22</v>
      </c>
    </row>
    <row r="10" spans="1:21" x14ac:dyDescent="0.3">
      <c r="A10" s="10">
        <v>9</v>
      </c>
      <c r="B10" s="12">
        <v>6</v>
      </c>
      <c r="C10" s="12">
        <v>9</v>
      </c>
      <c r="D10" s="12">
        <v>9</v>
      </c>
      <c r="E10" s="12" t="e">
        <f ca="1">_xlfn.TEXTJOIN(" ",TRUE,"ID:",A10," 48LQFP:",#REF!,"64LQFP:",B10," 100LQFP:",C10," 144LQFP:",D10)</f>
        <v>#NAME?</v>
      </c>
      <c r="F10" s="12" t="s">
        <v>61</v>
      </c>
      <c r="G10" s="12"/>
      <c r="H10" s="12"/>
      <c r="I10" s="12" t="s">
        <v>61</v>
      </c>
      <c r="J10" s="12" t="s">
        <v>62</v>
      </c>
      <c r="K10" s="12" t="s">
        <v>63</v>
      </c>
      <c r="L10" s="12" t="s">
        <v>64</v>
      </c>
      <c r="M10" s="12" t="s">
        <v>65</v>
      </c>
      <c r="N10" s="14"/>
      <c r="O10" s="15" t="s">
        <v>66</v>
      </c>
      <c r="P10" s="12" t="s">
        <v>445</v>
      </c>
      <c r="Q10" s="12" t="s">
        <v>445</v>
      </c>
      <c r="R10" s="12" t="s">
        <v>904</v>
      </c>
      <c r="S10" s="12" t="s">
        <v>446</v>
      </c>
      <c r="T10" s="15" t="s">
        <v>67</v>
      </c>
      <c r="U10" s="12" t="s">
        <v>22</v>
      </c>
    </row>
    <row r="11" spans="1:21" x14ac:dyDescent="0.3">
      <c r="A11" s="10">
        <v>10</v>
      </c>
      <c r="B11" s="12"/>
      <c r="C11" s="12"/>
      <c r="D11" s="12">
        <v>10</v>
      </c>
      <c r="E11" s="12" t="e">
        <f ca="1">_xlfn.TEXTJOIN(" ",TRUE,"ID:",A11," 48LQFP:",#REF!,"64LQFP:",B11," 100LQFP:",C11," 144LQFP:",D11)</f>
        <v>#NAME?</v>
      </c>
      <c r="F11" s="12" t="s">
        <v>68</v>
      </c>
      <c r="G11" s="12"/>
      <c r="H11" s="12"/>
      <c r="I11" s="12" t="s">
        <v>68</v>
      </c>
      <c r="J11" s="12" t="s">
        <v>69</v>
      </c>
      <c r="K11" s="12"/>
      <c r="L11" s="12"/>
      <c r="M11" s="12"/>
      <c r="N11" s="14"/>
      <c r="O11" s="12"/>
      <c r="P11" s="12" t="s">
        <v>445</v>
      </c>
      <c r="Q11" s="12" t="s">
        <v>445</v>
      </c>
      <c r="R11" s="12" t="s">
        <v>904</v>
      </c>
      <c r="S11" s="12" t="s">
        <v>446</v>
      </c>
      <c r="T11" s="12"/>
      <c r="U11" s="12" t="s">
        <v>22</v>
      </c>
    </row>
    <row r="12" spans="1:21" x14ac:dyDescent="0.3">
      <c r="A12" s="10">
        <v>11</v>
      </c>
      <c r="B12" s="12">
        <v>7</v>
      </c>
      <c r="C12" s="12">
        <v>10</v>
      </c>
      <c r="D12" s="12">
        <v>11</v>
      </c>
      <c r="E12" s="12" t="e">
        <f ca="1">_xlfn.TEXTJOIN(" ",TRUE,"ID:",A12," 48LQFP:",#REF!,"64LQFP:",B12," 100LQFP:",C12," 144LQFP:",D12)</f>
        <v>#NAME?</v>
      </c>
      <c r="F12" s="12" t="s">
        <v>70</v>
      </c>
      <c r="G12" s="12" t="s">
        <v>70</v>
      </c>
      <c r="H12" s="12" t="s">
        <v>70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0"/>
      <c r="U12" s="12" t="s">
        <v>70</v>
      </c>
    </row>
    <row r="13" spans="1:21" x14ac:dyDescent="0.3">
      <c r="A13" s="10">
        <v>12</v>
      </c>
      <c r="B13" s="12"/>
      <c r="C13" s="12"/>
      <c r="D13" s="12">
        <v>12</v>
      </c>
      <c r="E13" s="12" t="e">
        <f ca="1">_xlfn.TEXTJOIN(" ",TRUE,"ID:",A13," 48LQFP:",#REF!,"64LQFP:",B13," 100LQFP:",C13," 144LQFP:",D13)</f>
        <v>#NAME?</v>
      </c>
      <c r="F13" s="12" t="s">
        <v>71</v>
      </c>
      <c r="G13" s="12" t="s">
        <v>71</v>
      </c>
      <c r="H13" s="12" t="s">
        <v>71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0"/>
      <c r="U13" s="12" t="s">
        <v>71</v>
      </c>
    </row>
    <row r="14" spans="1:21" x14ac:dyDescent="0.3">
      <c r="A14" s="10">
        <v>13</v>
      </c>
      <c r="B14" s="12">
        <v>8</v>
      </c>
      <c r="C14" s="12">
        <v>11</v>
      </c>
      <c r="D14" s="12">
        <v>13</v>
      </c>
      <c r="E14" s="12" t="e">
        <f ca="1">_xlfn.TEXTJOIN(" ",TRUE,"ID:",A14," 48LQFP:",#REF!,"64LQFP:",B14," 100LQFP:",C14," 144LQFP:",D14)</f>
        <v>#NAME?</v>
      </c>
      <c r="F14" s="12" t="s">
        <v>72</v>
      </c>
      <c r="G14" s="15" t="s">
        <v>72</v>
      </c>
      <c r="H14" s="15" t="s">
        <v>72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0"/>
      <c r="U14" s="12" t="s">
        <v>72</v>
      </c>
    </row>
    <row r="15" spans="1:21" x14ac:dyDescent="0.3">
      <c r="A15" s="10">
        <v>14</v>
      </c>
      <c r="B15" s="12">
        <v>9</v>
      </c>
      <c r="C15" s="12">
        <v>12</v>
      </c>
      <c r="D15" s="12">
        <v>14</v>
      </c>
      <c r="E15" s="12" t="e">
        <f ca="1">_xlfn.TEXTJOIN(" ",TRUE,"ID:",A15," 48LQFP:",#REF!,"64LQFP:",B15," 100LQFP:",C15," 144LQFP:",D15)</f>
        <v>#NAME?</v>
      </c>
      <c r="F15" s="12" t="s">
        <v>73</v>
      </c>
      <c r="G15" s="12" t="s">
        <v>73</v>
      </c>
      <c r="H15" s="12" t="s">
        <v>73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0"/>
      <c r="U15" s="12" t="s">
        <v>73</v>
      </c>
    </row>
    <row r="16" spans="1:21" x14ac:dyDescent="0.3">
      <c r="A16" s="10">
        <v>15</v>
      </c>
      <c r="B16" s="12"/>
      <c r="C16" s="12">
        <v>13</v>
      </c>
      <c r="D16" s="12">
        <v>15</v>
      </c>
      <c r="E16" s="12" t="e">
        <f ca="1">_xlfn.TEXTJOIN(" ",TRUE,"ID:",A16," 48LQFP:",#REF!,"64LQFP:",B16," 100LQFP:",C16," 144LQFP:",D16)</f>
        <v>#NAME?</v>
      </c>
      <c r="F16" s="12" t="s">
        <v>74</v>
      </c>
      <c r="G16" s="12" t="s">
        <v>74</v>
      </c>
      <c r="H16" s="12" t="s">
        <v>74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0"/>
      <c r="U16" s="12" t="s">
        <v>74</v>
      </c>
    </row>
    <row r="17" spans="1:21" x14ac:dyDescent="0.3">
      <c r="A17" s="10">
        <v>16</v>
      </c>
      <c r="B17" s="12">
        <v>10</v>
      </c>
      <c r="C17" s="12">
        <v>14</v>
      </c>
      <c r="D17" s="12">
        <v>16</v>
      </c>
      <c r="E17" s="12" t="e">
        <f ca="1">_xlfn.TEXTJOIN(" ",TRUE,"ID:",A17," 48LQFP:",#REF!,"64LQFP:",B17," 100LQFP:",C17," 144LQFP:",D17)</f>
        <v>#NAME?</v>
      </c>
      <c r="F17" s="12" t="s">
        <v>71</v>
      </c>
      <c r="G17" s="12" t="s">
        <v>71</v>
      </c>
      <c r="H17" s="12" t="s">
        <v>71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0"/>
      <c r="U17" s="12" t="s">
        <v>71</v>
      </c>
    </row>
    <row r="18" spans="1:21" x14ac:dyDescent="0.3">
      <c r="A18" s="10">
        <v>17</v>
      </c>
      <c r="B18" s="12">
        <v>11</v>
      </c>
      <c r="C18" s="12">
        <v>15</v>
      </c>
      <c r="D18" s="12">
        <v>17</v>
      </c>
      <c r="E18" s="12" t="e">
        <f ca="1">_xlfn.TEXTJOIN(" ",TRUE,"ID:",A18," 48LQFP:",#REF!,"64LQFP:",B18," 100LQFP:",C18," 144LQFP:",D18)</f>
        <v>#NAME?</v>
      </c>
      <c r="F18" s="12" t="s">
        <v>75</v>
      </c>
      <c r="G18" s="12" t="s">
        <v>76</v>
      </c>
      <c r="H18" s="12" t="s">
        <v>76</v>
      </c>
      <c r="I18" s="15" t="s">
        <v>75</v>
      </c>
      <c r="J18" s="15" t="s">
        <v>77</v>
      </c>
      <c r="K18" s="15"/>
      <c r="L18" s="15" t="s">
        <v>78</v>
      </c>
      <c r="M18" s="16"/>
      <c r="N18" s="15"/>
      <c r="O18" s="15" t="s">
        <v>79</v>
      </c>
      <c r="P18" s="12" t="s">
        <v>445</v>
      </c>
      <c r="Q18" s="12" t="s">
        <v>445</v>
      </c>
      <c r="R18" s="12" t="s">
        <v>904</v>
      </c>
      <c r="S18" s="12" t="s">
        <v>446</v>
      </c>
      <c r="T18" s="10"/>
      <c r="U18" s="12" t="s">
        <v>22</v>
      </c>
    </row>
    <row r="19" spans="1:21" x14ac:dyDescent="0.3">
      <c r="A19" s="10">
        <v>18</v>
      </c>
      <c r="B19" s="12">
        <v>12</v>
      </c>
      <c r="C19" s="12">
        <v>16</v>
      </c>
      <c r="D19" s="12">
        <v>18</v>
      </c>
      <c r="E19" s="12" t="e">
        <f ca="1">_xlfn.TEXTJOIN(" ",TRUE,"ID:",A19," 48LQFP:",#REF!,"64LQFP:",B19," 100LQFP:",C19," 144LQFP:",D19)</f>
        <v>#NAME?</v>
      </c>
      <c r="F19" s="12" t="s">
        <v>80</v>
      </c>
      <c r="G19" s="12" t="s">
        <v>81</v>
      </c>
      <c r="H19" s="12" t="s">
        <v>81</v>
      </c>
      <c r="I19" s="15" t="s">
        <v>80</v>
      </c>
      <c r="J19" s="15" t="s">
        <v>82</v>
      </c>
      <c r="K19" s="15"/>
      <c r="L19" s="15" t="s">
        <v>83</v>
      </c>
      <c r="M19" s="16"/>
      <c r="N19" s="15"/>
      <c r="O19" s="15" t="s">
        <v>34</v>
      </c>
      <c r="P19" s="12" t="s">
        <v>445</v>
      </c>
      <c r="Q19" s="12" t="s">
        <v>445</v>
      </c>
      <c r="R19" s="12" t="s">
        <v>904</v>
      </c>
      <c r="S19" s="12" t="s">
        <v>446</v>
      </c>
      <c r="T19" s="10"/>
      <c r="U19" s="12" t="s">
        <v>22</v>
      </c>
    </row>
    <row r="20" spans="1:21" x14ac:dyDescent="0.3">
      <c r="A20" s="10">
        <v>19</v>
      </c>
      <c r="B20" s="12"/>
      <c r="C20" s="12"/>
      <c r="D20" s="12">
        <v>19</v>
      </c>
      <c r="E20" s="12" t="e">
        <f ca="1">_xlfn.TEXTJOIN(" ",TRUE,"ID:",A20," 48LQFP:",#REF!,"64LQFP:",B20," 100LQFP:",C20," 144LQFP:",D20)</f>
        <v>#NAME?</v>
      </c>
      <c r="F20" s="12" t="s">
        <v>84</v>
      </c>
      <c r="G20" s="12"/>
      <c r="H20" s="12"/>
      <c r="I20" s="12" t="s">
        <v>84</v>
      </c>
      <c r="J20" s="12" t="s">
        <v>85</v>
      </c>
      <c r="K20" s="12" t="s">
        <v>86</v>
      </c>
      <c r="L20" s="12" t="s">
        <v>87</v>
      </c>
      <c r="M20" s="12"/>
      <c r="N20" s="14"/>
      <c r="O20" s="12"/>
      <c r="P20" s="12" t="s">
        <v>445</v>
      </c>
      <c r="Q20" s="12" t="s">
        <v>445</v>
      </c>
      <c r="R20" s="12" t="s">
        <v>904</v>
      </c>
      <c r="S20" s="12" t="s">
        <v>446</v>
      </c>
      <c r="T20" s="10"/>
      <c r="U20" s="12" t="s">
        <v>22</v>
      </c>
    </row>
    <row r="21" spans="1:21" x14ac:dyDescent="0.3">
      <c r="A21" s="10">
        <v>20</v>
      </c>
      <c r="B21" s="12"/>
      <c r="C21" s="12">
        <v>17</v>
      </c>
      <c r="D21" s="12">
        <v>20</v>
      </c>
      <c r="E21" s="12" t="e">
        <f ca="1">_xlfn.TEXTJOIN(" ",TRUE,"ID:",A21," 48LQFP:",#REF!,"64LQFP:",B21," 100LQFP:",C21," 144LQFP:",D21)</f>
        <v>#NAME?</v>
      </c>
      <c r="F21" s="12" t="s">
        <v>88</v>
      </c>
      <c r="G21" s="12"/>
      <c r="H21" s="12"/>
      <c r="I21" s="12" t="s">
        <v>88</v>
      </c>
      <c r="J21" s="12" t="s">
        <v>89</v>
      </c>
      <c r="K21" s="12"/>
      <c r="L21" s="12" t="s">
        <v>90</v>
      </c>
      <c r="M21" s="12" t="s">
        <v>43</v>
      </c>
      <c r="N21" s="12"/>
      <c r="O21" s="12"/>
      <c r="P21" s="12" t="s">
        <v>445</v>
      </c>
      <c r="Q21" s="12" t="s">
        <v>445</v>
      </c>
      <c r="R21" s="12" t="s">
        <v>904</v>
      </c>
      <c r="S21" s="12" t="s">
        <v>446</v>
      </c>
      <c r="T21" s="10"/>
      <c r="U21" s="12" t="s">
        <v>22</v>
      </c>
    </row>
    <row r="22" spans="1:21" x14ac:dyDescent="0.3">
      <c r="A22" s="10">
        <v>21</v>
      </c>
      <c r="B22" s="12">
        <v>13</v>
      </c>
      <c r="C22" s="12">
        <v>18</v>
      </c>
      <c r="D22" s="12">
        <v>21</v>
      </c>
      <c r="E22" s="12" t="e">
        <f ca="1">_xlfn.TEXTJOIN(" ",TRUE,"ID:",A22," 48LQFP:",#REF!,"64LQFP:",B22," 100LQFP:",C22," 144LQFP:",D22)</f>
        <v>#NAME?</v>
      </c>
      <c r="F22" s="12" t="s">
        <v>91</v>
      </c>
      <c r="G22" s="12"/>
      <c r="H22" s="12"/>
      <c r="I22" s="12" t="s">
        <v>91</v>
      </c>
      <c r="J22" s="12" t="s">
        <v>92</v>
      </c>
      <c r="K22" s="12" t="s">
        <v>93</v>
      </c>
      <c r="L22" s="12" t="s">
        <v>52</v>
      </c>
      <c r="M22" s="12" t="s">
        <v>94</v>
      </c>
      <c r="N22" s="12" t="s">
        <v>95</v>
      </c>
      <c r="O22" s="12" t="s">
        <v>96</v>
      </c>
      <c r="P22" s="12" t="s">
        <v>445</v>
      </c>
      <c r="Q22" s="12" t="s">
        <v>445</v>
      </c>
      <c r="R22" s="12" t="s">
        <v>904</v>
      </c>
      <c r="S22" s="12" t="s">
        <v>446</v>
      </c>
      <c r="T22" s="15" t="s">
        <v>97</v>
      </c>
      <c r="U22" s="12" t="s">
        <v>22</v>
      </c>
    </row>
    <row r="23" spans="1:21" x14ac:dyDescent="0.3">
      <c r="A23" s="10">
        <v>22</v>
      </c>
      <c r="B23" s="12"/>
      <c r="C23" s="12"/>
      <c r="D23" s="12">
        <v>22</v>
      </c>
      <c r="E23" s="12" t="e">
        <f ca="1">_xlfn.TEXTJOIN(" ",TRUE,"ID:",A23," 48LQFP:",#REF!,"64LQFP:",B23," 100LQFP:",C23," 144LQFP:",D23)</f>
        <v>#NAME?</v>
      </c>
      <c r="F23" s="12" t="s">
        <v>98</v>
      </c>
      <c r="G23" s="12"/>
      <c r="H23" s="12"/>
      <c r="I23" s="12" t="s">
        <v>98</v>
      </c>
      <c r="J23" s="12" t="s">
        <v>53</v>
      </c>
      <c r="K23" s="12" t="s">
        <v>99</v>
      </c>
      <c r="L23" s="12" t="s">
        <v>100</v>
      </c>
      <c r="M23" s="12" t="s">
        <v>58</v>
      </c>
      <c r="N23" s="14"/>
      <c r="O23" s="12"/>
      <c r="P23" s="12" t="s">
        <v>445</v>
      </c>
      <c r="Q23" s="12" t="s">
        <v>445</v>
      </c>
      <c r="R23" s="12" t="s">
        <v>904</v>
      </c>
      <c r="S23" s="12" t="s">
        <v>446</v>
      </c>
      <c r="T23" s="10"/>
      <c r="U23" s="12" t="s">
        <v>22</v>
      </c>
    </row>
    <row r="24" spans="1:21" x14ac:dyDescent="0.3">
      <c r="A24" s="10">
        <v>23</v>
      </c>
      <c r="B24" s="12"/>
      <c r="C24" s="12">
        <v>19</v>
      </c>
      <c r="D24" s="12">
        <v>23</v>
      </c>
      <c r="E24" s="12" t="e">
        <f ca="1">_xlfn.TEXTJOIN(" ",TRUE,"ID:",A24," 48LQFP:",#REF!,"64LQFP:",B24," 100LQFP:",C24," 144LQFP:",D24)</f>
        <v>#NAME?</v>
      </c>
      <c r="F24" s="12" t="s">
        <v>101</v>
      </c>
      <c r="G24" s="12"/>
      <c r="H24" s="12"/>
      <c r="I24" s="12" t="s">
        <v>101</v>
      </c>
      <c r="J24" s="12" t="s">
        <v>102</v>
      </c>
      <c r="K24" s="12" t="s">
        <v>103</v>
      </c>
      <c r="L24" s="14"/>
      <c r="M24" s="12" t="s">
        <v>104</v>
      </c>
      <c r="N24" s="12" t="s">
        <v>105</v>
      </c>
      <c r="O24" s="12" t="s">
        <v>106</v>
      </c>
      <c r="P24" s="12" t="s">
        <v>445</v>
      </c>
      <c r="Q24" s="12" t="s">
        <v>445</v>
      </c>
      <c r="R24" s="12" t="s">
        <v>904</v>
      </c>
      <c r="S24" s="12" t="s">
        <v>446</v>
      </c>
      <c r="T24" s="10"/>
      <c r="U24" s="12" t="s">
        <v>22</v>
      </c>
    </row>
    <row r="25" spans="1:21" x14ac:dyDescent="0.3">
      <c r="A25" s="10">
        <v>24</v>
      </c>
      <c r="B25" s="12"/>
      <c r="C25" s="12"/>
      <c r="D25" s="12">
        <v>24</v>
      </c>
      <c r="E25" s="12" t="e">
        <f ca="1">_xlfn.TEXTJOIN(" ",TRUE,"ID:",A25," 48LQFP:",#REF!,"64LQFP:",B25," 100LQFP:",C25," 144LQFP:",D25)</f>
        <v>#NAME?</v>
      </c>
      <c r="F25" s="12" t="s">
        <v>107</v>
      </c>
      <c r="G25" s="12"/>
      <c r="H25" s="12"/>
      <c r="I25" s="12" t="s">
        <v>107</v>
      </c>
      <c r="J25" s="12" t="s">
        <v>108</v>
      </c>
      <c r="K25" s="12" t="s">
        <v>31</v>
      </c>
      <c r="L25" s="12" t="s">
        <v>109</v>
      </c>
      <c r="M25" s="12" t="s">
        <v>65</v>
      </c>
      <c r="N25" s="14"/>
      <c r="O25" s="12"/>
      <c r="P25" s="12" t="s">
        <v>445</v>
      </c>
      <c r="Q25" s="12" t="s">
        <v>445</v>
      </c>
      <c r="R25" s="12" t="s">
        <v>904</v>
      </c>
      <c r="S25" s="12" t="s">
        <v>446</v>
      </c>
      <c r="T25" s="10"/>
      <c r="U25" s="12" t="s">
        <v>22</v>
      </c>
    </row>
    <row r="26" spans="1:21" x14ac:dyDescent="0.3">
      <c r="A26" s="10">
        <v>25</v>
      </c>
      <c r="B26" s="12"/>
      <c r="C26" s="12">
        <v>20</v>
      </c>
      <c r="D26" s="12">
        <v>25</v>
      </c>
      <c r="E26" s="12" t="e">
        <f ca="1">_xlfn.TEXTJOIN(" ",TRUE,"ID:",A26," 48LQFP:",#REF!,"64LQFP:",B26," 100LQFP:",C26," 144LQFP:",D26)</f>
        <v>#NAME?</v>
      </c>
      <c r="F26" s="12" t="s">
        <v>110</v>
      </c>
      <c r="G26" s="12"/>
      <c r="H26" s="12"/>
      <c r="I26" s="12" t="s">
        <v>110</v>
      </c>
      <c r="J26" s="12" t="s">
        <v>111</v>
      </c>
      <c r="K26" s="12" t="s">
        <v>112</v>
      </c>
      <c r="L26" s="14"/>
      <c r="M26" s="12" t="s">
        <v>104</v>
      </c>
      <c r="N26" s="14"/>
      <c r="O26" s="12" t="s">
        <v>64</v>
      </c>
      <c r="P26" s="12" t="s">
        <v>445</v>
      </c>
      <c r="Q26" s="12" t="s">
        <v>445</v>
      </c>
      <c r="R26" s="12" t="s">
        <v>904</v>
      </c>
      <c r="S26" s="12" t="s">
        <v>446</v>
      </c>
      <c r="T26" s="10"/>
      <c r="U26" s="12" t="s">
        <v>22</v>
      </c>
    </row>
    <row r="27" spans="1:21" x14ac:dyDescent="0.3">
      <c r="A27" s="10">
        <v>26</v>
      </c>
      <c r="B27" s="12"/>
      <c r="C27" s="12"/>
      <c r="D27" s="12">
        <v>26</v>
      </c>
      <c r="E27" s="12" t="e">
        <f ca="1">_xlfn.TEXTJOIN(" ",TRUE,"ID:",A27," 48LQFP:",#REF!,"64LQFP:",B27," 100LQFP:",C27," 144LQFP:",D27)</f>
        <v>#NAME?</v>
      </c>
      <c r="F27" s="12" t="s">
        <v>113</v>
      </c>
      <c r="G27" s="12"/>
      <c r="H27" s="12"/>
      <c r="I27" s="12" t="s">
        <v>113</v>
      </c>
      <c r="J27" s="12" t="s">
        <v>114</v>
      </c>
      <c r="K27" s="10"/>
      <c r="L27" s="12" t="s">
        <v>103</v>
      </c>
      <c r="M27" s="12" t="s">
        <v>93</v>
      </c>
      <c r="N27" s="12"/>
      <c r="O27" s="14"/>
      <c r="P27" s="12" t="s">
        <v>445</v>
      </c>
      <c r="Q27" s="12" t="s">
        <v>445</v>
      </c>
      <c r="R27" s="12" t="s">
        <v>904</v>
      </c>
      <c r="S27" s="12" t="s">
        <v>446</v>
      </c>
      <c r="T27" s="10"/>
      <c r="U27" s="12" t="s">
        <v>22</v>
      </c>
    </row>
    <row r="28" spans="1:21" x14ac:dyDescent="0.3">
      <c r="A28" s="10">
        <v>27</v>
      </c>
      <c r="B28" s="12"/>
      <c r="C28" s="12"/>
      <c r="D28" s="12">
        <v>27</v>
      </c>
      <c r="E28" s="12" t="e">
        <f ca="1">_xlfn.TEXTJOIN(" ",TRUE,"ID:",A28," 48LQFP:",#REF!,"64LQFP:",B28," 100LQFP:",C28," 144LQFP:",D28)</f>
        <v>#NAME?</v>
      </c>
      <c r="F28" s="12" t="s">
        <v>115</v>
      </c>
      <c r="G28" s="12"/>
      <c r="H28" s="12"/>
      <c r="I28" s="12" t="s">
        <v>115</v>
      </c>
      <c r="J28" s="12" t="s">
        <v>116</v>
      </c>
      <c r="K28" s="12" t="s">
        <v>112</v>
      </c>
      <c r="L28" s="12" t="s">
        <v>117</v>
      </c>
      <c r="M28" s="10"/>
      <c r="N28" s="12"/>
      <c r="O28" s="14"/>
      <c r="P28" s="12" t="s">
        <v>445</v>
      </c>
      <c r="Q28" s="12" t="s">
        <v>445</v>
      </c>
      <c r="R28" s="12" t="s">
        <v>904</v>
      </c>
      <c r="S28" s="12" t="s">
        <v>446</v>
      </c>
      <c r="T28" s="17"/>
      <c r="U28" s="12" t="s">
        <v>22</v>
      </c>
    </row>
    <row r="29" spans="1:21" x14ac:dyDescent="0.3">
      <c r="A29" s="10">
        <v>28</v>
      </c>
      <c r="B29" s="12">
        <v>14</v>
      </c>
      <c r="C29" s="12">
        <v>21</v>
      </c>
      <c r="D29" s="12">
        <v>28</v>
      </c>
      <c r="E29" s="12" t="e">
        <f ca="1">_xlfn.TEXTJOIN(" ",TRUE,"ID:",A29," 48LQFP:",#REF!,"64LQFP:",B29," 100LQFP:",C29," 144LQFP:",D29)</f>
        <v>#NAME?</v>
      </c>
      <c r="F29" s="12" t="s">
        <v>118</v>
      </c>
      <c r="G29" s="12" t="s">
        <v>119</v>
      </c>
      <c r="H29" s="12" t="s">
        <v>119</v>
      </c>
      <c r="I29" s="12" t="s">
        <v>118</v>
      </c>
      <c r="J29" s="12" t="s">
        <v>120</v>
      </c>
      <c r="K29" s="12"/>
      <c r="L29" s="12" t="s">
        <v>121</v>
      </c>
      <c r="M29" s="12" t="s">
        <v>122</v>
      </c>
      <c r="N29" s="12" t="s">
        <v>123</v>
      </c>
      <c r="O29" s="12" t="s">
        <v>124</v>
      </c>
      <c r="P29" s="12" t="s">
        <v>445</v>
      </c>
      <c r="Q29" s="12" t="s">
        <v>445</v>
      </c>
      <c r="R29" s="12" t="s">
        <v>904</v>
      </c>
      <c r="S29" s="12" t="s">
        <v>446</v>
      </c>
      <c r="T29" s="10"/>
      <c r="U29" s="12" t="s">
        <v>22</v>
      </c>
    </row>
    <row r="30" spans="1:21" x14ac:dyDescent="0.3">
      <c r="A30" s="10">
        <v>29</v>
      </c>
      <c r="B30" s="12">
        <v>15</v>
      </c>
      <c r="C30" s="12">
        <v>22</v>
      </c>
      <c r="D30" s="12">
        <v>29</v>
      </c>
      <c r="E30" s="12" t="e">
        <f ca="1">_xlfn.TEXTJOIN(" ",TRUE,"ID:",A30," 48LQFP:",#REF!,"64LQFP:",B30," 100LQFP:",C30," 144LQFP:",D30)</f>
        <v>#NAME?</v>
      </c>
      <c r="F30" s="12" t="s">
        <v>125</v>
      </c>
      <c r="G30" s="12" t="s">
        <v>126</v>
      </c>
      <c r="H30" s="12" t="s">
        <v>126</v>
      </c>
      <c r="I30" s="12" t="s">
        <v>125</v>
      </c>
      <c r="J30" s="12" t="s">
        <v>127</v>
      </c>
      <c r="K30" s="12"/>
      <c r="L30" s="12" t="s">
        <v>128</v>
      </c>
      <c r="M30" s="14"/>
      <c r="N30" s="12" t="s">
        <v>129</v>
      </c>
      <c r="O30" s="12"/>
      <c r="P30" s="12" t="s">
        <v>445</v>
      </c>
      <c r="Q30" s="12" t="s">
        <v>445</v>
      </c>
      <c r="R30" s="12" t="s">
        <v>904</v>
      </c>
      <c r="S30" s="12" t="s">
        <v>446</v>
      </c>
      <c r="T30" s="10"/>
      <c r="U30" s="12" t="s">
        <v>22</v>
      </c>
    </row>
    <row r="31" spans="1:21" x14ac:dyDescent="0.3">
      <c r="A31" s="10">
        <v>30</v>
      </c>
      <c r="B31" s="12">
        <v>16</v>
      </c>
      <c r="C31" s="12">
        <v>23</v>
      </c>
      <c r="D31" s="12">
        <v>30</v>
      </c>
      <c r="E31" s="12" t="e">
        <f ca="1">_xlfn.TEXTJOIN(" ",TRUE,"ID:",A31," 48LQFP:",#REF!,"64LQFP:",B31," 100LQFP:",C31," 144LQFP:",D31)</f>
        <v>#NAME?</v>
      </c>
      <c r="F31" s="12" t="s">
        <v>130</v>
      </c>
      <c r="G31" s="12"/>
      <c r="H31" s="12"/>
      <c r="I31" s="12" t="s">
        <v>130</v>
      </c>
      <c r="J31" s="12" t="s">
        <v>131</v>
      </c>
      <c r="K31" s="12" t="s">
        <v>31</v>
      </c>
      <c r="L31" s="12" t="s">
        <v>132</v>
      </c>
      <c r="M31" s="12" t="s">
        <v>133</v>
      </c>
      <c r="N31" s="12"/>
      <c r="O31" s="12" t="s">
        <v>43</v>
      </c>
      <c r="P31" s="12" t="s">
        <v>445</v>
      </c>
      <c r="Q31" s="12" t="s">
        <v>445</v>
      </c>
      <c r="R31" s="12" t="s">
        <v>904</v>
      </c>
      <c r="S31" s="12" t="s">
        <v>446</v>
      </c>
      <c r="T31" s="15" t="s">
        <v>134</v>
      </c>
      <c r="U31" s="12" t="s">
        <v>22</v>
      </c>
    </row>
    <row r="32" spans="1:21" x14ac:dyDescent="0.3">
      <c r="A32" s="10">
        <v>31</v>
      </c>
      <c r="B32" s="12"/>
      <c r="C32" s="12"/>
      <c r="D32" s="12">
        <v>31</v>
      </c>
      <c r="E32" s="12" t="e">
        <f ca="1">_xlfn.TEXTJOIN(" ",TRUE,"ID:",A32," 48LQFP:",#REF!,"64LQFP:",B32," 100LQFP:",C32," 144LQFP:",D32)</f>
        <v>#NAME?</v>
      </c>
      <c r="F32" s="12" t="s">
        <v>71</v>
      </c>
      <c r="G32" s="12" t="s">
        <v>71</v>
      </c>
      <c r="H32" s="12" t="s">
        <v>71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0"/>
      <c r="U32" s="12" t="s">
        <v>71</v>
      </c>
    </row>
    <row r="33" spans="1:21" x14ac:dyDescent="0.3">
      <c r="A33" s="10">
        <v>32</v>
      </c>
      <c r="B33" s="12"/>
      <c r="C33" s="12"/>
      <c r="D33" s="12">
        <v>32</v>
      </c>
      <c r="E33" s="12" t="e">
        <f ca="1">_xlfn.TEXTJOIN(" ",TRUE,"ID:",A33," 48LQFP:",#REF!,"64LQFP:",B33," 100LQFP:",C33," 144LQFP:",D33)</f>
        <v>#NAME?</v>
      </c>
      <c r="F33" s="12" t="s">
        <v>70</v>
      </c>
      <c r="G33" s="12" t="s">
        <v>70</v>
      </c>
      <c r="H33" s="12" t="s">
        <v>70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0"/>
      <c r="U33" s="12" t="s">
        <v>70</v>
      </c>
    </row>
    <row r="34" spans="1:21" x14ac:dyDescent="0.3">
      <c r="A34" s="10">
        <v>33</v>
      </c>
      <c r="B34" s="12"/>
      <c r="C34" s="12"/>
      <c r="D34" s="12">
        <v>33</v>
      </c>
      <c r="E34" s="12" t="e">
        <f ca="1">_xlfn.TEXTJOIN(" ",TRUE,"ID:",A34," 48LQFP:",#REF!,"64LQFP:",B34," 100LQFP:",C34," 144LQFP:",D34)</f>
        <v>#NAME?</v>
      </c>
      <c r="F34" s="12" t="s">
        <v>135</v>
      </c>
      <c r="G34" s="12"/>
      <c r="H34" s="12"/>
      <c r="I34" s="12" t="s">
        <v>135</v>
      </c>
      <c r="J34" s="12" t="s">
        <v>136</v>
      </c>
      <c r="K34" s="12"/>
      <c r="L34" s="12" t="s">
        <v>137</v>
      </c>
      <c r="M34" s="12"/>
      <c r="N34" s="12" t="s">
        <v>138</v>
      </c>
      <c r="O34" s="14"/>
      <c r="P34" s="12" t="s">
        <v>445</v>
      </c>
      <c r="Q34" s="12" t="s">
        <v>445</v>
      </c>
      <c r="R34" s="12" t="s">
        <v>904</v>
      </c>
      <c r="S34" s="12" t="s">
        <v>446</v>
      </c>
      <c r="T34" s="10"/>
      <c r="U34" s="12" t="s">
        <v>22</v>
      </c>
    </row>
    <row r="35" spans="1:21" x14ac:dyDescent="0.3">
      <c r="A35" s="10">
        <v>34</v>
      </c>
      <c r="B35" s="12"/>
      <c r="C35" s="12">
        <v>24</v>
      </c>
      <c r="D35" s="12">
        <v>34</v>
      </c>
      <c r="E35" s="12" t="e">
        <f ca="1">_xlfn.TEXTJOIN(" ",TRUE,"ID:",A35," 48LQFP:",#REF!,"64LQFP:",B35," 100LQFP:",C35," 144LQFP:",D35)</f>
        <v>#NAME?</v>
      </c>
      <c r="F35" s="12" t="s">
        <v>139</v>
      </c>
      <c r="G35" s="12"/>
      <c r="H35" s="12"/>
      <c r="I35" s="12" t="s">
        <v>139</v>
      </c>
      <c r="J35" s="12" t="s">
        <v>38</v>
      </c>
      <c r="K35" s="12" t="s">
        <v>140</v>
      </c>
      <c r="L35" s="12" t="s">
        <v>77</v>
      </c>
      <c r="M35" s="12" t="s">
        <v>122</v>
      </c>
      <c r="N35" s="12" t="s">
        <v>141</v>
      </c>
      <c r="O35" s="12" t="s">
        <v>43</v>
      </c>
      <c r="P35" s="12" t="s">
        <v>445</v>
      </c>
      <c r="Q35" s="12" t="s">
        <v>445</v>
      </c>
      <c r="R35" s="12" t="s">
        <v>904</v>
      </c>
      <c r="S35" s="12" t="s">
        <v>446</v>
      </c>
      <c r="T35" s="10"/>
      <c r="U35" s="12" t="s">
        <v>22</v>
      </c>
    </row>
    <row r="36" spans="1:21" x14ac:dyDescent="0.3">
      <c r="A36" s="10">
        <v>35</v>
      </c>
      <c r="B36" s="12"/>
      <c r="C36" s="12">
        <v>25</v>
      </c>
      <c r="D36" s="12">
        <v>35</v>
      </c>
      <c r="E36" s="12" t="e">
        <f ca="1">_xlfn.TEXTJOIN(" ",TRUE,"ID:",A36," 48LQFP:",#REF!,"64LQFP:",B36," 100LQFP:",C36," 144LQFP:",D36)</f>
        <v>#NAME?</v>
      </c>
      <c r="F36" s="12" t="s">
        <v>142</v>
      </c>
      <c r="G36" s="12"/>
      <c r="H36" s="12"/>
      <c r="I36" s="12" t="s">
        <v>142</v>
      </c>
      <c r="J36" s="12" t="s">
        <v>45</v>
      </c>
      <c r="K36" s="12" t="s">
        <v>143</v>
      </c>
      <c r="L36" s="12" t="s">
        <v>82</v>
      </c>
      <c r="M36" s="12" t="s">
        <v>144</v>
      </c>
      <c r="N36" s="12" t="s">
        <v>50</v>
      </c>
      <c r="O36" s="12" t="s">
        <v>145</v>
      </c>
      <c r="P36" s="12" t="s">
        <v>445</v>
      </c>
      <c r="Q36" s="12" t="s">
        <v>445</v>
      </c>
      <c r="R36" s="12" t="s">
        <v>904</v>
      </c>
      <c r="S36" s="12" t="s">
        <v>446</v>
      </c>
      <c r="T36" s="10"/>
      <c r="U36" s="12" t="s">
        <v>22</v>
      </c>
    </row>
    <row r="37" spans="1:21" x14ac:dyDescent="0.3">
      <c r="A37" s="10">
        <v>36</v>
      </c>
      <c r="B37" s="12"/>
      <c r="C37" s="12"/>
      <c r="D37" s="12">
        <v>36</v>
      </c>
      <c r="E37" s="12" t="e">
        <f ca="1">_xlfn.TEXTJOIN(" ",TRUE,"ID:",A37," 48LQFP:",#REF!,"64LQFP:",B37," 100LQFP:",C37," 144LQFP:",D37)</f>
        <v>#NAME?</v>
      </c>
      <c r="F37" s="12" t="s">
        <v>146</v>
      </c>
      <c r="G37" s="12" t="s">
        <v>147</v>
      </c>
      <c r="H37" s="12" t="s">
        <v>147</v>
      </c>
      <c r="I37" s="12" t="s">
        <v>146</v>
      </c>
      <c r="J37" s="12" t="s">
        <v>148</v>
      </c>
      <c r="K37" s="12"/>
      <c r="L37" s="12" t="s">
        <v>149</v>
      </c>
      <c r="M37" s="14"/>
      <c r="N37" s="12" t="s">
        <v>150</v>
      </c>
      <c r="O37" s="14"/>
      <c r="P37" s="12" t="s">
        <v>445</v>
      </c>
      <c r="Q37" s="12" t="s">
        <v>445</v>
      </c>
      <c r="R37" s="12" t="s">
        <v>904</v>
      </c>
      <c r="S37" s="12" t="s">
        <v>446</v>
      </c>
      <c r="T37" s="10"/>
      <c r="U37" s="12" t="s">
        <v>22</v>
      </c>
    </row>
    <row r="38" spans="1:21" x14ac:dyDescent="0.3">
      <c r="A38" s="10">
        <v>37</v>
      </c>
      <c r="B38" s="12"/>
      <c r="C38" s="12"/>
      <c r="D38" s="12">
        <v>37</v>
      </c>
      <c r="E38" s="12" t="e">
        <f ca="1">_xlfn.TEXTJOIN(" ",TRUE,"ID:",A38," 48LQFP:",#REF!,"64LQFP:",B38," 100LQFP:",C38," 144LQFP:",D38)</f>
        <v>#NAME?</v>
      </c>
      <c r="F38" s="12" t="s">
        <v>151</v>
      </c>
      <c r="G38" s="12" t="s">
        <v>152</v>
      </c>
      <c r="H38" s="12" t="s">
        <v>152</v>
      </c>
      <c r="I38" s="12" t="s">
        <v>151</v>
      </c>
      <c r="J38" s="12" t="s">
        <v>39</v>
      </c>
      <c r="K38" s="12"/>
      <c r="L38" s="12"/>
      <c r="M38" s="12" t="s">
        <v>153</v>
      </c>
      <c r="N38" s="12"/>
      <c r="O38" s="12"/>
      <c r="P38" s="12" t="s">
        <v>445</v>
      </c>
      <c r="Q38" s="12" t="s">
        <v>445</v>
      </c>
      <c r="R38" s="12" t="s">
        <v>904</v>
      </c>
      <c r="S38" s="12" t="s">
        <v>446</v>
      </c>
      <c r="T38" s="10"/>
      <c r="U38" s="12" t="s">
        <v>22</v>
      </c>
    </row>
    <row r="39" spans="1:21" x14ac:dyDescent="0.3">
      <c r="A39" s="10">
        <v>38</v>
      </c>
      <c r="B39" s="12"/>
      <c r="C39" s="12"/>
      <c r="D39" s="12">
        <v>38</v>
      </c>
      <c r="E39" s="12" t="e">
        <f ca="1">_xlfn.TEXTJOIN(" ",TRUE,"ID:",A39," 48LQFP:",#REF!,"64LQFP:",B39," 100LQFP:",C39," 144LQFP:",D39)</f>
        <v>#NAME?</v>
      </c>
      <c r="F39" s="12" t="s">
        <v>154</v>
      </c>
      <c r="G39" s="12" t="s">
        <v>155</v>
      </c>
      <c r="H39" s="12" t="s">
        <v>155</v>
      </c>
      <c r="I39" s="12" t="s">
        <v>154</v>
      </c>
      <c r="J39" s="12" t="s">
        <v>46</v>
      </c>
      <c r="K39" s="12"/>
      <c r="L39" s="12"/>
      <c r="M39" s="12" t="s">
        <v>156</v>
      </c>
      <c r="N39" s="12"/>
      <c r="O39" s="12"/>
      <c r="P39" s="12" t="s">
        <v>445</v>
      </c>
      <c r="Q39" s="12" t="s">
        <v>445</v>
      </c>
      <c r="R39" s="12" t="s">
        <v>904</v>
      </c>
      <c r="S39" s="12" t="s">
        <v>446</v>
      </c>
      <c r="T39" s="10"/>
      <c r="U39" s="12" t="s">
        <v>22</v>
      </c>
    </row>
    <row r="40" spans="1:21" x14ac:dyDescent="0.3">
      <c r="A40" s="10">
        <v>39</v>
      </c>
      <c r="B40" s="12">
        <v>17</v>
      </c>
      <c r="C40" s="12">
        <v>26</v>
      </c>
      <c r="D40" s="12">
        <v>39</v>
      </c>
      <c r="E40" s="12" t="e">
        <f ca="1">_xlfn.TEXTJOIN(" ",TRUE,"ID:",A40," 48LQFP:",#REF!,"64LQFP:",B40," 100LQFP:",C40," 144LQFP:",D40)</f>
        <v>#NAME?</v>
      </c>
      <c r="F40" s="12" t="s">
        <v>157</v>
      </c>
      <c r="G40" s="12" t="s">
        <v>158</v>
      </c>
      <c r="H40" s="12" t="s">
        <v>158</v>
      </c>
      <c r="I40" s="12" t="s">
        <v>157</v>
      </c>
      <c r="J40" s="12" t="s">
        <v>159</v>
      </c>
      <c r="K40" s="14"/>
      <c r="L40" s="12" t="s">
        <v>160</v>
      </c>
      <c r="M40" s="12" t="s">
        <v>161</v>
      </c>
      <c r="N40" s="12" t="s">
        <v>85</v>
      </c>
      <c r="O40" s="12" t="s">
        <v>162</v>
      </c>
      <c r="P40" s="12" t="s">
        <v>445</v>
      </c>
      <c r="Q40" s="12" t="s">
        <v>445</v>
      </c>
      <c r="R40" s="12" t="s">
        <v>904</v>
      </c>
      <c r="S40" s="12" t="s">
        <v>446</v>
      </c>
      <c r="T40" s="15" t="s">
        <v>163</v>
      </c>
      <c r="U40" s="12" t="s">
        <v>22</v>
      </c>
    </row>
    <row r="41" spans="1:21" x14ac:dyDescent="0.3">
      <c r="A41" s="10">
        <v>40</v>
      </c>
      <c r="B41" s="12">
        <v>18</v>
      </c>
      <c r="C41" s="12">
        <v>27</v>
      </c>
      <c r="D41" s="12">
        <v>40</v>
      </c>
      <c r="E41" s="12" t="e">
        <f ca="1">_xlfn.TEXTJOIN(" ",TRUE,"ID:",A41," 48LQFP:",#REF!,"64LQFP:",B41," 100LQFP:",C41," 144LQFP:",D41)</f>
        <v>#NAME?</v>
      </c>
      <c r="F41" s="12" t="s">
        <v>164</v>
      </c>
      <c r="G41" s="12"/>
      <c r="H41" s="12"/>
      <c r="I41" s="12" t="s">
        <v>164</v>
      </c>
      <c r="J41" s="12" t="s">
        <v>165</v>
      </c>
      <c r="K41" s="12" t="s">
        <v>137</v>
      </c>
      <c r="L41" s="12" t="s">
        <v>87</v>
      </c>
      <c r="M41" s="12" t="s">
        <v>43</v>
      </c>
      <c r="N41" s="12" t="s">
        <v>166</v>
      </c>
      <c r="O41" s="12" t="s">
        <v>167</v>
      </c>
      <c r="P41" s="12" t="s">
        <v>445</v>
      </c>
      <c r="Q41" s="12" t="s">
        <v>445</v>
      </c>
      <c r="R41" s="12" t="s">
        <v>445</v>
      </c>
      <c r="S41" s="12" t="s">
        <v>446</v>
      </c>
      <c r="T41" s="10"/>
      <c r="U41" s="12" t="s">
        <v>22</v>
      </c>
    </row>
    <row r="42" spans="1:21" x14ac:dyDescent="0.3">
      <c r="A42" s="10">
        <v>41</v>
      </c>
      <c r="B42" s="12">
        <v>19</v>
      </c>
      <c r="C42" s="12">
        <v>28</v>
      </c>
      <c r="D42" s="12">
        <v>41</v>
      </c>
      <c r="E42" s="12" t="e">
        <f ca="1">_xlfn.TEXTJOIN(" ",TRUE,"ID:",A42," 48LQFP:",#REF!,"64LQFP:",B42," 100LQFP:",C42," 144LQFP:",D42)</f>
        <v>#NAME?</v>
      </c>
      <c r="F42" s="12" t="s">
        <v>168</v>
      </c>
      <c r="G42" s="12"/>
      <c r="H42" s="12"/>
      <c r="I42" s="12" t="s">
        <v>168</v>
      </c>
      <c r="J42" s="12" t="s">
        <v>169</v>
      </c>
      <c r="K42" s="12" t="s">
        <v>117</v>
      </c>
      <c r="L42" s="12"/>
      <c r="M42" s="12"/>
      <c r="N42" s="12" t="s">
        <v>170</v>
      </c>
      <c r="O42" s="12"/>
      <c r="P42" s="12" t="s">
        <v>445</v>
      </c>
      <c r="Q42" s="12" t="s">
        <v>445</v>
      </c>
      <c r="R42" s="12" t="s">
        <v>445</v>
      </c>
      <c r="S42" s="12" t="s">
        <v>446</v>
      </c>
      <c r="T42" s="10"/>
      <c r="U42" s="12" t="s">
        <v>22</v>
      </c>
    </row>
    <row r="43" spans="1:21" x14ac:dyDescent="0.3">
      <c r="A43" s="10">
        <v>42</v>
      </c>
      <c r="B43" s="12">
        <v>20</v>
      </c>
      <c r="C43" s="12">
        <v>29</v>
      </c>
      <c r="D43" s="12">
        <v>42</v>
      </c>
      <c r="E43" s="12" t="e">
        <f ca="1">_xlfn.TEXTJOIN(" ",TRUE,"ID:",A43," 48LQFP:",#REF!,"64LQFP:",B43," 100LQFP:",C43," 144LQFP:",D43)</f>
        <v>#NAME?</v>
      </c>
      <c r="F43" s="12" t="s">
        <v>171</v>
      </c>
      <c r="G43" s="12" t="s">
        <v>172</v>
      </c>
      <c r="H43" s="12" t="s">
        <v>172</v>
      </c>
      <c r="I43" s="12" t="s">
        <v>171</v>
      </c>
      <c r="J43" s="12" t="s">
        <v>173</v>
      </c>
      <c r="K43" s="12" t="s">
        <v>58</v>
      </c>
      <c r="L43" s="12" t="s">
        <v>100</v>
      </c>
      <c r="M43" s="12" t="s">
        <v>174</v>
      </c>
      <c r="N43" s="12"/>
      <c r="O43" s="12"/>
      <c r="P43" s="12" t="s">
        <v>445</v>
      </c>
      <c r="Q43" s="12" t="s">
        <v>445</v>
      </c>
      <c r="R43" s="12" t="s">
        <v>904</v>
      </c>
      <c r="S43" s="12" t="s">
        <v>446</v>
      </c>
      <c r="T43" s="15" t="s">
        <v>175</v>
      </c>
      <c r="U43" s="12" t="s">
        <v>22</v>
      </c>
    </row>
    <row r="44" spans="1:21" x14ac:dyDescent="0.3">
      <c r="A44" s="10">
        <v>43</v>
      </c>
      <c r="B44" s="12">
        <v>21</v>
      </c>
      <c r="C44" s="12">
        <v>30</v>
      </c>
      <c r="D44" s="12">
        <v>43</v>
      </c>
      <c r="E44" s="12" t="e">
        <f ca="1">_xlfn.TEXTJOIN(" ",TRUE,"ID:",A44," 48LQFP:",#REF!,"64LQFP:",B44," 100LQFP:",C44," 144LQFP:",D44)</f>
        <v>#NAME?</v>
      </c>
      <c r="F44" s="12" t="s">
        <v>176</v>
      </c>
      <c r="G44" s="12" t="s">
        <v>177</v>
      </c>
      <c r="H44" s="12" t="s">
        <v>451</v>
      </c>
      <c r="I44" s="12" t="s">
        <v>176</v>
      </c>
      <c r="J44" s="12" t="s">
        <v>30</v>
      </c>
      <c r="K44" s="12" t="s">
        <v>65</v>
      </c>
      <c r="L44" s="12" t="s">
        <v>109</v>
      </c>
      <c r="M44" s="12" t="s">
        <v>178</v>
      </c>
      <c r="N44" s="12" t="s">
        <v>124</v>
      </c>
      <c r="O44" s="12"/>
      <c r="P44" s="12" t="s">
        <v>445</v>
      </c>
      <c r="Q44" s="12" t="s">
        <v>445</v>
      </c>
      <c r="R44" s="12" t="s">
        <v>904</v>
      </c>
      <c r="S44" s="12" t="s">
        <v>446</v>
      </c>
      <c r="T44" s="15" t="s">
        <v>179</v>
      </c>
      <c r="U44" s="12" t="s">
        <v>22</v>
      </c>
    </row>
    <row r="45" spans="1:21" x14ac:dyDescent="0.3">
      <c r="A45" s="10">
        <v>44</v>
      </c>
      <c r="B45" s="12">
        <v>22</v>
      </c>
      <c r="C45" s="12">
        <v>31</v>
      </c>
      <c r="D45" s="12">
        <v>44</v>
      </c>
      <c r="E45" s="12" t="e">
        <f ca="1">_xlfn.TEXTJOIN(" ",TRUE,"ID:",A45," 48LQFP:",#REF!,"64LQFP:",B45," 100LQFP:",C45," 144LQFP:",D45)</f>
        <v>#NAME?</v>
      </c>
      <c r="F45" s="12" t="s">
        <v>180</v>
      </c>
      <c r="G45" s="12" t="s">
        <v>181</v>
      </c>
      <c r="H45" s="12" t="s">
        <v>181</v>
      </c>
      <c r="I45" s="12" t="s">
        <v>180</v>
      </c>
      <c r="J45" s="12" t="s">
        <v>103</v>
      </c>
      <c r="K45" s="12" t="s">
        <v>173</v>
      </c>
      <c r="L45" s="12" t="s">
        <v>182</v>
      </c>
      <c r="M45" s="12" t="s">
        <v>183</v>
      </c>
      <c r="N45" s="12" t="s">
        <v>33</v>
      </c>
      <c r="O45" s="12"/>
      <c r="P45" s="12" t="s">
        <v>445</v>
      </c>
      <c r="Q45" s="12" t="s">
        <v>445</v>
      </c>
      <c r="R45" s="12" t="s">
        <v>904</v>
      </c>
      <c r="S45" s="12" t="s">
        <v>446</v>
      </c>
      <c r="T45" s="10"/>
      <c r="U45" s="12" t="s">
        <v>22</v>
      </c>
    </row>
    <row r="46" spans="1:21" x14ac:dyDescent="0.3">
      <c r="A46" s="10">
        <v>45</v>
      </c>
      <c r="B46" s="12">
        <v>23</v>
      </c>
      <c r="C46" s="12">
        <v>32</v>
      </c>
      <c r="D46" s="12">
        <v>45</v>
      </c>
      <c r="E46" s="12" t="e">
        <f ca="1">_xlfn.TEXTJOIN(" ",TRUE,"ID:",A46," 48LQFP:",#REF!,"64LQFP:",B46," 100LQFP:",C46," 144LQFP:",D46)</f>
        <v>#NAME?</v>
      </c>
      <c r="F46" s="12" t="s">
        <v>184</v>
      </c>
      <c r="G46" s="12" t="s">
        <v>185</v>
      </c>
      <c r="H46" s="12" t="s">
        <v>185</v>
      </c>
      <c r="I46" s="12" t="s">
        <v>184</v>
      </c>
      <c r="J46" s="12" t="s">
        <v>112</v>
      </c>
      <c r="K46" s="12" t="s">
        <v>30</v>
      </c>
      <c r="L46" s="12" t="s">
        <v>186</v>
      </c>
      <c r="M46" s="12" t="s">
        <v>187</v>
      </c>
      <c r="N46" s="12"/>
      <c r="O46" s="12" t="s">
        <v>87</v>
      </c>
      <c r="P46" s="12" t="s">
        <v>445</v>
      </c>
      <c r="Q46" s="12" t="s">
        <v>445</v>
      </c>
      <c r="R46" s="12" t="s">
        <v>904</v>
      </c>
      <c r="S46" s="12" t="s">
        <v>446</v>
      </c>
      <c r="T46" s="10"/>
      <c r="U46" s="12" t="s">
        <v>22</v>
      </c>
    </row>
    <row r="47" spans="1:21" x14ac:dyDescent="0.3">
      <c r="A47" s="10">
        <v>46</v>
      </c>
      <c r="B47" s="12">
        <v>24</v>
      </c>
      <c r="C47" s="12">
        <v>33</v>
      </c>
      <c r="D47" s="12">
        <v>46</v>
      </c>
      <c r="E47" s="12" t="e">
        <f ca="1">_xlfn.TEXTJOIN(" ",TRUE,"ID:",A47," 48LQFP:",#REF!,"64LQFP:",B47," 100LQFP:",C47," 144LQFP:",D47)</f>
        <v>#NAME?</v>
      </c>
      <c r="F47" s="12" t="s">
        <v>188</v>
      </c>
      <c r="G47" s="12"/>
      <c r="H47" s="12"/>
      <c r="I47" s="12" t="s">
        <v>188</v>
      </c>
      <c r="J47" s="12" t="s">
        <v>57</v>
      </c>
      <c r="K47" s="12" t="s">
        <v>189</v>
      </c>
      <c r="L47" s="12" t="s">
        <v>90</v>
      </c>
      <c r="M47" s="12" t="s">
        <v>190</v>
      </c>
      <c r="N47" s="12" t="s">
        <v>191</v>
      </c>
      <c r="O47" s="12" t="s">
        <v>137</v>
      </c>
      <c r="P47" s="12" t="s">
        <v>445</v>
      </c>
      <c r="Q47" s="12" t="s">
        <v>445</v>
      </c>
      <c r="R47" s="12" t="s">
        <v>904</v>
      </c>
      <c r="S47" s="12" t="s">
        <v>446</v>
      </c>
      <c r="T47" s="15" t="s">
        <v>192</v>
      </c>
      <c r="U47" s="12" t="s">
        <v>22</v>
      </c>
    </row>
    <row r="48" spans="1:21" x14ac:dyDescent="0.3">
      <c r="A48" s="10">
        <v>47</v>
      </c>
      <c r="B48" s="12"/>
      <c r="C48" s="12">
        <v>34</v>
      </c>
      <c r="D48" s="12">
        <v>47</v>
      </c>
      <c r="E48" s="12" t="e">
        <f ca="1">_xlfn.TEXTJOIN(" ",TRUE,"ID:",A48," 48LQFP:",#REF!,"64LQFP:",B48," 100LQFP:",C48," 144LQFP:",D48)</f>
        <v>#NAME?</v>
      </c>
      <c r="F48" s="12" t="s">
        <v>193</v>
      </c>
      <c r="G48" s="10"/>
      <c r="H48" s="10"/>
      <c r="I48" s="12" t="s">
        <v>193</v>
      </c>
      <c r="J48" s="12" t="s">
        <v>64</v>
      </c>
      <c r="K48" s="12"/>
      <c r="L48" s="12" t="s">
        <v>62</v>
      </c>
      <c r="M48" s="12" t="s">
        <v>106</v>
      </c>
      <c r="N48" s="12" t="s">
        <v>117</v>
      </c>
      <c r="O48" s="12" t="s">
        <v>194</v>
      </c>
      <c r="P48" s="12" t="s">
        <v>445</v>
      </c>
      <c r="Q48" s="12" t="s">
        <v>445</v>
      </c>
      <c r="R48" s="12" t="s">
        <v>904</v>
      </c>
      <c r="S48" s="12" t="s">
        <v>446</v>
      </c>
      <c r="T48" s="10"/>
      <c r="U48" s="12" t="s">
        <v>22</v>
      </c>
    </row>
    <row r="49" spans="1:21" x14ac:dyDescent="0.3">
      <c r="A49" s="10">
        <v>48</v>
      </c>
      <c r="B49" s="12"/>
      <c r="C49" s="12">
        <v>35</v>
      </c>
      <c r="D49" s="12">
        <v>48</v>
      </c>
      <c r="E49" s="12" t="e">
        <f ca="1">_xlfn.TEXTJOIN(" ",TRUE,"ID:",A49," 48LQFP:",#REF!,"64LQFP:",B49," 100LQFP:",C49," 144LQFP:",D49)</f>
        <v>#NAME?</v>
      </c>
      <c r="F49" s="12" t="s">
        <v>195</v>
      </c>
      <c r="G49" s="12"/>
      <c r="H49" s="12"/>
      <c r="I49" s="12" t="s">
        <v>195</v>
      </c>
      <c r="J49" s="12" t="s">
        <v>196</v>
      </c>
      <c r="K49" s="12" t="s">
        <v>56</v>
      </c>
      <c r="L49" s="12" t="s">
        <v>123</v>
      </c>
      <c r="M49" s="12" t="s">
        <v>133</v>
      </c>
      <c r="N49" s="12" t="s">
        <v>128</v>
      </c>
      <c r="O49" s="12" t="s">
        <v>197</v>
      </c>
      <c r="P49" s="12" t="s">
        <v>445</v>
      </c>
      <c r="Q49" s="12" t="s">
        <v>445</v>
      </c>
      <c r="R49" s="12" t="s">
        <v>904</v>
      </c>
      <c r="S49" s="12" t="s">
        <v>446</v>
      </c>
      <c r="T49" s="10"/>
      <c r="U49" s="12" t="s">
        <v>22</v>
      </c>
    </row>
    <row r="50" spans="1:21" x14ac:dyDescent="0.3">
      <c r="A50" s="10">
        <v>49</v>
      </c>
      <c r="B50" s="12"/>
      <c r="C50" s="12">
        <v>36</v>
      </c>
      <c r="D50" s="12">
        <v>49</v>
      </c>
      <c r="E50" s="12" t="e">
        <f ca="1">_xlfn.TEXTJOIN(" ",TRUE,"ID:",A50," 48LQFP:",#REF!,"64LQFP:",B50," 100LQFP:",C50," 144LQFP:",D50)</f>
        <v>#NAME?</v>
      </c>
      <c r="F50" s="12" t="s">
        <v>198</v>
      </c>
      <c r="G50" s="12"/>
      <c r="H50" s="12"/>
      <c r="I50" s="12" t="s">
        <v>198</v>
      </c>
      <c r="J50" s="12" t="s">
        <v>32</v>
      </c>
      <c r="K50" s="12" t="s">
        <v>63</v>
      </c>
      <c r="L50" s="12" t="s">
        <v>129</v>
      </c>
      <c r="M50" s="12" t="s">
        <v>121</v>
      </c>
      <c r="N50" s="12" t="s">
        <v>43</v>
      </c>
      <c r="O50" s="12" t="s">
        <v>199</v>
      </c>
      <c r="P50" s="12" t="s">
        <v>445</v>
      </c>
      <c r="Q50" s="12" t="s">
        <v>445</v>
      </c>
      <c r="R50" s="12" t="s">
        <v>904</v>
      </c>
      <c r="S50" s="12" t="s">
        <v>446</v>
      </c>
      <c r="T50" s="10"/>
      <c r="U50" s="12" t="s">
        <v>22</v>
      </c>
    </row>
    <row r="51" spans="1:21" x14ac:dyDescent="0.3">
      <c r="A51" s="10">
        <v>50</v>
      </c>
      <c r="B51" s="12"/>
      <c r="C51" s="12">
        <v>37</v>
      </c>
      <c r="D51" s="12">
        <v>50</v>
      </c>
      <c r="E51" s="12" t="e">
        <f ca="1">_xlfn.TEXTJOIN(" ",TRUE,"ID:",A51," 48LQFP:",#REF!,"64LQFP:",B51," 100LQFP:",C51," 144LQFP:",D51)</f>
        <v>#NAME?</v>
      </c>
      <c r="F51" s="12" t="s">
        <v>71</v>
      </c>
      <c r="G51" s="12" t="s">
        <v>71</v>
      </c>
      <c r="H51" s="12" t="s">
        <v>71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0"/>
      <c r="U51" s="12" t="s">
        <v>71</v>
      </c>
    </row>
    <row r="52" spans="1:21" x14ac:dyDescent="0.3">
      <c r="A52" s="10">
        <v>51</v>
      </c>
      <c r="B52" s="12"/>
      <c r="C52" s="12">
        <v>38</v>
      </c>
      <c r="D52" s="12">
        <v>51</v>
      </c>
      <c r="E52" s="12" t="e">
        <f ca="1">_xlfn.TEXTJOIN(" ",TRUE,"ID:",A52," 48LQFP:",#REF!,"64LQFP:",B52," 100LQFP:",C52," 144LQFP:",D52)</f>
        <v>#NAME?</v>
      </c>
      <c r="F52" s="12" t="s">
        <v>70</v>
      </c>
      <c r="G52" s="12" t="s">
        <v>70</v>
      </c>
      <c r="H52" s="12" t="s">
        <v>70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0"/>
      <c r="U52" s="12" t="s">
        <v>70</v>
      </c>
    </row>
    <row r="53" spans="1:21" x14ac:dyDescent="0.3">
      <c r="A53" s="10">
        <v>52</v>
      </c>
      <c r="B53" s="12">
        <v>25</v>
      </c>
      <c r="C53" s="12">
        <v>39</v>
      </c>
      <c r="D53" s="12">
        <v>52</v>
      </c>
      <c r="E53" s="12" t="e">
        <f ca="1">_xlfn.TEXTJOIN(" ",TRUE,"ID:",A53," 48LQFP:",#REF!,"64LQFP:",B53," 100LQFP:",C53," 144LQFP:",D53)</f>
        <v>#NAME?</v>
      </c>
      <c r="F53" s="12" t="s">
        <v>200</v>
      </c>
      <c r="G53" s="12" t="s">
        <v>201</v>
      </c>
      <c r="H53" s="12" t="s">
        <v>201</v>
      </c>
      <c r="I53" s="12" t="s">
        <v>200</v>
      </c>
      <c r="J53" s="12" t="s">
        <v>120</v>
      </c>
      <c r="K53" s="12" t="s">
        <v>202</v>
      </c>
      <c r="L53" s="12" t="s">
        <v>203</v>
      </c>
      <c r="M53" s="12" t="s">
        <v>204</v>
      </c>
      <c r="N53" s="12" t="s">
        <v>205</v>
      </c>
      <c r="O53" s="12"/>
      <c r="P53" s="12" t="s">
        <v>445</v>
      </c>
      <c r="Q53" s="12" t="s">
        <v>445</v>
      </c>
      <c r="R53" s="12" t="s">
        <v>904</v>
      </c>
      <c r="S53" s="12" t="s">
        <v>446</v>
      </c>
      <c r="T53" s="15" t="s">
        <v>206</v>
      </c>
      <c r="U53" s="12" t="s">
        <v>22</v>
      </c>
    </row>
    <row r="54" spans="1:21" x14ac:dyDescent="0.3">
      <c r="A54" s="10">
        <v>53</v>
      </c>
      <c r="B54" s="12">
        <v>26</v>
      </c>
      <c r="C54" s="12">
        <v>40</v>
      </c>
      <c r="D54" s="12">
        <v>53</v>
      </c>
      <c r="E54" s="12" t="e">
        <f ca="1">_xlfn.TEXTJOIN(" ",TRUE,"ID:",A54," 48LQFP:",#REF!,"64LQFP:",B54," 100LQFP:",C54," 144LQFP:",D54)</f>
        <v>#NAME?</v>
      </c>
      <c r="F54" s="12" t="s">
        <v>207</v>
      </c>
      <c r="G54" s="12" t="s">
        <v>208</v>
      </c>
      <c r="H54" s="12" t="s">
        <v>208</v>
      </c>
      <c r="I54" s="12" t="s">
        <v>207</v>
      </c>
      <c r="J54" s="12" t="s">
        <v>127</v>
      </c>
      <c r="K54" s="12" t="s">
        <v>19</v>
      </c>
      <c r="L54" s="12" t="s">
        <v>209</v>
      </c>
      <c r="M54" s="12" t="s">
        <v>210</v>
      </c>
      <c r="N54" s="12" t="s">
        <v>211</v>
      </c>
      <c r="O54" s="12"/>
      <c r="P54" s="12" t="s">
        <v>445</v>
      </c>
      <c r="Q54" s="12" t="s">
        <v>445</v>
      </c>
      <c r="R54" s="12" t="s">
        <v>904</v>
      </c>
      <c r="S54" s="12" t="s">
        <v>446</v>
      </c>
      <c r="T54" s="15" t="s">
        <v>212</v>
      </c>
      <c r="U54" s="12" t="s">
        <v>22</v>
      </c>
    </row>
    <row r="55" spans="1:21" x14ac:dyDescent="0.3">
      <c r="A55" s="10">
        <v>54</v>
      </c>
      <c r="B55" s="12"/>
      <c r="C55" s="12">
        <v>41</v>
      </c>
      <c r="D55" s="12">
        <v>54</v>
      </c>
      <c r="E55" s="12" t="e">
        <f ca="1">_xlfn.TEXTJOIN(" ",TRUE,"ID:",A55," 48LQFP:",#REF!,"64LQFP:",B55," 100LQFP:",C55," 144LQFP:",D55)</f>
        <v>#NAME?</v>
      </c>
      <c r="F55" s="12" t="s">
        <v>213</v>
      </c>
      <c r="G55" s="12"/>
      <c r="H55" s="12"/>
      <c r="I55" s="12" t="s">
        <v>213</v>
      </c>
      <c r="J55" s="12" t="s">
        <v>214</v>
      </c>
      <c r="K55" s="12"/>
      <c r="L55" s="12" t="s">
        <v>182</v>
      </c>
      <c r="M55" s="12" t="s">
        <v>156</v>
      </c>
      <c r="N55" s="12" t="s">
        <v>215</v>
      </c>
      <c r="O55" s="12"/>
      <c r="P55" s="12" t="s">
        <v>445</v>
      </c>
      <c r="Q55" s="12" t="s">
        <v>445</v>
      </c>
      <c r="R55" s="12" t="s">
        <v>904</v>
      </c>
      <c r="S55" s="12" t="s">
        <v>446</v>
      </c>
      <c r="T55" s="10"/>
      <c r="U55" s="12" t="s">
        <v>22</v>
      </c>
    </row>
    <row r="56" spans="1:21" x14ac:dyDescent="0.3">
      <c r="A56" s="10">
        <v>55</v>
      </c>
      <c r="B56" s="12"/>
      <c r="C56" s="12">
        <v>42</v>
      </c>
      <c r="D56" s="12">
        <v>55</v>
      </c>
      <c r="E56" s="12" t="e">
        <f ca="1">_xlfn.TEXTJOIN(" ",TRUE,"ID:",A56," 48LQFP:",#REF!,"64LQFP:",B56," 100LQFP:",C56," 144LQFP:",D56)</f>
        <v>#NAME?</v>
      </c>
      <c r="F56" s="12" t="s">
        <v>216</v>
      </c>
      <c r="G56" s="12"/>
      <c r="H56" s="12"/>
      <c r="I56" s="12" t="s">
        <v>216</v>
      </c>
      <c r="J56" s="12" t="s">
        <v>217</v>
      </c>
      <c r="K56" s="12"/>
      <c r="L56" s="12" t="s">
        <v>186</v>
      </c>
      <c r="M56" s="12" t="s">
        <v>153</v>
      </c>
      <c r="N56" s="12" t="s">
        <v>218</v>
      </c>
      <c r="O56" s="12" t="s">
        <v>94</v>
      </c>
      <c r="P56" s="12" t="s">
        <v>445</v>
      </c>
      <c r="Q56" s="12" t="s">
        <v>445</v>
      </c>
      <c r="R56" s="12" t="s">
        <v>904</v>
      </c>
      <c r="S56" s="12" t="s">
        <v>446</v>
      </c>
      <c r="T56" s="10"/>
      <c r="U56" s="12" t="s">
        <v>22</v>
      </c>
    </row>
    <row r="57" spans="1:21" x14ac:dyDescent="0.3">
      <c r="A57" s="10">
        <v>56</v>
      </c>
      <c r="B57" s="12">
        <v>27</v>
      </c>
      <c r="C57" s="12">
        <v>43</v>
      </c>
      <c r="D57" s="12">
        <v>56</v>
      </c>
      <c r="E57" s="12" t="e">
        <f ca="1">_xlfn.TEXTJOIN(" ",TRUE,"ID:",A57," 48LQFP:",#REF!,"64LQFP:",B57," 100LQFP:",C57," 144LQFP:",D57)</f>
        <v>#NAME?</v>
      </c>
      <c r="F57" s="12" t="s">
        <v>219</v>
      </c>
      <c r="G57" s="12" t="s">
        <v>220</v>
      </c>
      <c r="H57" s="12" t="s">
        <v>220</v>
      </c>
      <c r="I57" s="12" t="s">
        <v>219</v>
      </c>
      <c r="J57" s="12" t="s">
        <v>221</v>
      </c>
      <c r="K57" s="12" t="s">
        <v>222</v>
      </c>
      <c r="L57" s="12" t="s">
        <v>174</v>
      </c>
      <c r="M57" s="12" t="s">
        <v>196</v>
      </c>
      <c r="N57" s="12"/>
      <c r="O57" s="12" t="s">
        <v>78</v>
      </c>
      <c r="P57" s="12" t="s">
        <v>445</v>
      </c>
      <c r="Q57" s="12" t="s">
        <v>445</v>
      </c>
      <c r="R57" s="12" t="s">
        <v>445</v>
      </c>
      <c r="S57" s="12" t="s">
        <v>446</v>
      </c>
      <c r="T57" s="10"/>
      <c r="U57" s="12" t="s">
        <v>22</v>
      </c>
    </row>
    <row r="58" spans="1:21" x14ac:dyDescent="0.3">
      <c r="A58" s="10">
        <v>57</v>
      </c>
      <c r="B58" s="12">
        <v>28</v>
      </c>
      <c r="C58" s="12">
        <v>44</v>
      </c>
      <c r="D58" s="12">
        <v>57</v>
      </c>
      <c r="E58" s="12" t="e">
        <f ca="1">_xlfn.TEXTJOIN(" ",TRUE,"ID:",A58," 48LQFP:",#REF!,"64LQFP:",B58," 100LQFP:",C58," 144LQFP:",D58)</f>
        <v>#NAME?</v>
      </c>
      <c r="F58" s="12" t="s">
        <v>223</v>
      </c>
      <c r="G58" s="12" t="s">
        <v>224</v>
      </c>
      <c r="H58" s="12" t="s">
        <v>224</v>
      </c>
      <c r="I58" s="12" t="s">
        <v>223</v>
      </c>
      <c r="J58" s="12" t="s">
        <v>225</v>
      </c>
      <c r="K58" s="12" t="s">
        <v>226</v>
      </c>
      <c r="L58" s="12" t="s">
        <v>178</v>
      </c>
      <c r="M58" s="12" t="s">
        <v>32</v>
      </c>
      <c r="N58" s="12" t="s">
        <v>83</v>
      </c>
      <c r="O58" s="12" t="s">
        <v>153</v>
      </c>
      <c r="P58" s="12" t="s">
        <v>445</v>
      </c>
      <c r="Q58" s="12" t="s">
        <v>445</v>
      </c>
      <c r="R58" s="12" t="s">
        <v>445</v>
      </c>
      <c r="S58" s="12" t="s">
        <v>446</v>
      </c>
      <c r="T58" s="10"/>
      <c r="U58" s="12" t="s">
        <v>22</v>
      </c>
    </row>
    <row r="59" spans="1:21" x14ac:dyDescent="0.3">
      <c r="A59" s="10">
        <v>58</v>
      </c>
      <c r="B59" s="12"/>
      <c r="C59" s="12"/>
      <c r="D59" s="12">
        <v>58</v>
      </c>
      <c r="E59" s="12" t="e">
        <f ca="1">_xlfn.TEXTJOIN(" ",TRUE,"ID:",A59," 48LQFP:",#REF!,"64LQFP:",B59," 100LQFP:",C59," 144LQFP:",D59)</f>
        <v>#NAME?</v>
      </c>
      <c r="F59" s="12" t="s">
        <v>227</v>
      </c>
      <c r="G59" s="12" t="s">
        <v>228</v>
      </c>
      <c r="H59" s="12" t="s">
        <v>228</v>
      </c>
      <c r="I59" s="12" t="s">
        <v>227</v>
      </c>
      <c r="J59" s="14"/>
      <c r="K59" s="12" t="s">
        <v>161</v>
      </c>
      <c r="L59" s="12"/>
      <c r="M59" s="12" t="s">
        <v>140</v>
      </c>
      <c r="N59" s="12"/>
      <c r="O59" s="12"/>
      <c r="P59" s="12" t="s">
        <v>445</v>
      </c>
      <c r="Q59" s="12" t="s">
        <v>445</v>
      </c>
      <c r="R59" s="12" t="s">
        <v>904</v>
      </c>
      <c r="S59" s="12" t="s">
        <v>446</v>
      </c>
      <c r="T59" s="10"/>
      <c r="U59" s="12" t="s">
        <v>22</v>
      </c>
    </row>
    <row r="60" spans="1:21" x14ac:dyDescent="0.3">
      <c r="A60" s="10">
        <v>59</v>
      </c>
      <c r="B60" s="12">
        <v>29</v>
      </c>
      <c r="C60" s="12">
        <v>45</v>
      </c>
      <c r="D60" s="12">
        <v>59</v>
      </c>
      <c r="E60" s="12" t="e">
        <f ca="1">_xlfn.TEXTJOIN(" ",TRUE,"ID:",A60," 48LQFP:",#REF!,"64LQFP:",B60," 100LQFP:",C60," 144LQFP:",D60)</f>
        <v>#NAME?</v>
      </c>
      <c r="F60" s="12" t="s">
        <v>229</v>
      </c>
      <c r="G60" s="12" t="s">
        <v>230</v>
      </c>
      <c r="H60" s="12" t="s">
        <v>230</v>
      </c>
      <c r="I60" s="12" t="s">
        <v>229</v>
      </c>
      <c r="J60" s="12" t="s">
        <v>231</v>
      </c>
      <c r="K60" s="12" t="s">
        <v>25</v>
      </c>
      <c r="L60" s="12" t="s">
        <v>183</v>
      </c>
      <c r="M60" s="12" t="s">
        <v>214</v>
      </c>
      <c r="N60" s="12" t="s">
        <v>232</v>
      </c>
      <c r="O60" s="12" t="s">
        <v>156</v>
      </c>
      <c r="P60" s="12" t="s">
        <v>445</v>
      </c>
      <c r="Q60" s="12" t="s">
        <v>445</v>
      </c>
      <c r="R60" s="12" t="s">
        <v>904</v>
      </c>
      <c r="S60" s="12" t="s">
        <v>446</v>
      </c>
      <c r="T60" s="15" t="s">
        <v>233</v>
      </c>
      <c r="U60" s="12" t="s">
        <v>22</v>
      </c>
    </row>
    <row r="61" spans="1:21" x14ac:dyDescent="0.3">
      <c r="A61" s="10">
        <v>60</v>
      </c>
      <c r="B61" s="12"/>
      <c r="C61" s="12"/>
      <c r="D61" s="12">
        <v>60</v>
      </c>
      <c r="E61" s="12" t="e">
        <f ca="1">_xlfn.TEXTJOIN(" ",TRUE,"ID:",A61," 48LQFP:",#REF!,"64LQFP:",B61," 100LQFP:",C61," 144LQFP:",D61)</f>
        <v>#NAME?</v>
      </c>
      <c r="F61" s="12" t="s">
        <v>234</v>
      </c>
      <c r="G61" s="12" t="s">
        <v>235</v>
      </c>
      <c r="H61" s="12" t="s">
        <v>235</v>
      </c>
      <c r="I61" s="12" t="s">
        <v>234</v>
      </c>
      <c r="J61" s="12"/>
      <c r="K61" s="12" t="s">
        <v>143</v>
      </c>
      <c r="L61" s="12"/>
      <c r="M61" s="10"/>
      <c r="N61" s="12"/>
      <c r="O61" s="12"/>
      <c r="P61" s="12" t="s">
        <v>445</v>
      </c>
      <c r="Q61" s="12" t="s">
        <v>445</v>
      </c>
      <c r="R61" s="12" t="s">
        <v>904</v>
      </c>
      <c r="S61" s="12" t="s">
        <v>446</v>
      </c>
      <c r="T61" s="10"/>
      <c r="U61" s="12" t="s">
        <v>22</v>
      </c>
    </row>
    <row r="62" spans="1:21" x14ac:dyDescent="0.3">
      <c r="A62" s="10">
        <v>61</v>
      </c>
      <c r="B62" s="12">
        <v>30</v>
      </c>
      <c r="C62" s="12">
        <v>46</v>
      </c>
      <c r="D62" s="12">
        <v>61</v>
      </c>
      <c r="E62" s="12" t="e">
        <f ca="1">_xlfn.TEXTJOIN(" ",TRUE,"ID:",A62," 48LQFP:",#REF!,"64LQFP:",B62," 100LQFP:",C62," 144LQFP:",D62)</f>
        <v>#NAME?</v>
      </c>
      <c r="F62" s="12" t="s">
        <v>236</v>
      </c>
      <c r="G62" s="12" t="s">
        <v>237</v>
      </c>
      <c r="H62" s="12" t="s">
        <v>237</v>
      </c>
      <c r="I62" s="12" t="s">
        <v>236</v>
      </c>
      <c r="J62" s="12" t="s">
        <v>238</v>
      </c>
      <c r="K62" s="12" t="s">
        <v>36</v>
      </c>
      <c r="L62" s="12" t="s">
        <v>187</v>
      </c>
      <c r="M62" s="12" t="s">
        <v>217</v>
      </c>
      <c r="N62" s="12" t="s">
        <v>239</v>
      </c>
      <c r="O62" s="12" t="s">
        <v>240</v>
      </c>
      <c r="P62" s="12" t="s">
        <v>445</v>
      </c>
      <c r="Q62" s="12" t="s">
        <v>445</v>
      </c>
      <c r="R62" s="12" t="s">
        <v>904</v>
      </c>
      <c r="S62" s="12" t="s">
        <v>446</v>
      </c>
      <c r="T62" s="15" t="s">
        <v>241</v>
      </c>
      <c r="U62" s="12" t="s">
        <v>22</v>
      </c>
    </row>
    <row r="63" spans="1:21" x14ac:dyDescent="0.3">
      <c r="A63" s="10">
        <v>62</v>
      </c>
      <c r="B63" s="12"/>
      <c r="C63" s="12"/>
      <c r="D63" s="12">
        <v>62</v>
      </c>
      <c r="E63" s="12" t="e">
        <f ca="1">_xlfn.TEXTJOIN(" ",TRUE,"ID:",A63," 48LQFP:",#REF!,"64LQFP:",B63," 100LQFP:",C63," 144LQFP:",D63)</f>
        <v>#NAME?</v>
      </c>
      <c r="F63" s="12" t="s">
        <v>242</v>
      </c>
      <c r="G63" s="12" t="s">
        <v>243</v>
      </c>
      <c r="H63" s="12" t="s">
        <v>243</v>
      </c>
      <c r="I63" s="12" t="s">
        <v>242</v>
      </c>
      <c r="J63" s="12"/>
      <c r="K63" s="12"/>
      <c r="L63" s="12" t="s">
        <v>190</v>
      </c>
      <c r="M63" s="12" t="s">
        <v>36</v>
      </c>
      <c r="N63" s="12"/>
      <c r="O63" s="12"/>
      <c r="P63" s="12" t="s">
        <v>445</v>
      </c>
      <c r="Q63" s="12" t="s">
        <v>445</v>
      </c>
      <c r="R63" s="12" t="s">
        <v>904</v>
      </c>
      <c r="S63" s="12" t="s">
        <v>446</v>
      </c>
      <c r="T63" s="10"/>
      <c r="U63" s="12" t="s">
        <v>22</v>
      </c>
    </row>
    <row r="64" spans="1:21" x14ac:dyDescent="0.3">
      <c r="A64" s="10">
        <v>63</v>
      </c>
      <c r="B64" s="12">
        <v>31</v>
      </c>
      <c r="C64" s="12">
        <v>47</v>
      </c>
      <c r="D64" s="12">
        <v>63</v>
      </c>
      <c r="E64" s="12" t="e">
        <f ca="1">_xlfn.TEXTJOIN(" ",TRUE,"ID:",A64," 48LQFP:",#REF!,"64LQFP:",B64," 100LQFP:",C64," 144LQFP:",D64)</f>
        <v>#NAME?</v>
      </c>
      <c r="F64" s="12" t="s">
        <v>244</v>
      </c>
      <c r="G64" s="12" t="s">
        <v>245</v>
      </c>
      <c r="H64" s="12" t="s">
        <v>245</v>
      </c>
      <c r="I64" s="12" t="s">
        <v>244</v>
      </c>
      <c r="J64" s="12" t="s">
        <v>246</v>
      </c>
      <c r="K64" s="12" t="s">
        <v>121</v>
      </c>
      <c r="L64" s="12" t="s">
        <v>247</v>
      </c>
      <c r="M64" s="14"/>
      <c r="N64" s="12" t="s">
        <v>248</v>
      </c>
      <c r="O64" s="14"/>
      <c r="P64" s="12" t="s">
        <v>445</v>
      </c>
      <c r="Q64" s="12" t="s">
        <v>445</v>
      </c>
      <c r="R64" s="12" t="s">
        <v>904</v>
      </c>
      <c r="S64" s="12" t="s">
        <v>446</v>
      </c>
      <c r="T64" s="10"/>
      <c r="U64" s="12" t="s">
        <v>22</v>
      </c>
    </row>
    <row r="65" spans="1:21" x14ac:dyDescent="0.3">
      <c r="A65" s="10">
        <v>64</v>
      </c>
      <c r="B65" s="12"/>
      <c r="C65" s="12"/>
      <c r="D65" s="12">
        <v>64</v>
      </c>
      <c r="E65" s="12" t="e">
        <f ca="1">_xlfn.TEXTJOIN(" ",TRUE,"ID:",A65," 48LQFP:",#REF!,"64LQFP:",B65," 100LQFP:",C65," 144LQFP:",D65)</f>
        <v>#NAME?</v>
      </c>
      <c r="F65" s="12" t="s">
        <v>249</v>
      </c>
      <c r="G65" s="12" t="s">
        <v>250</v>
      </c>
      <c r="H65" s="12" t="s">
        <v>250</v>
      </c>
      <c r="I65" s="12" t="s">
        <v>249</v>
      </c>
      <c r="J65" s="14"/>
      <c r="K65" s="12"/>
      <c r="L65" s="12"/>
      <c r="M65" s="12" t="s">
        <v>202</v>
      </c>
      <c r="N65" s="12" t="s">
        <v>251</v>
      </c>
      <c r="O65" s="12"/>
      <c r="P65" s="12" t="s">
        <v>445</v>
      </c>
      <c r="Q65" s="12" t="s">
        <v>445</v>
      </c>
      <c r="R65" s="12" t="s">
        <v>904</v>
      </c>
      <c r="S65" s="12" t="s">
        <v>446</v>
      </c>
      <c r="T65" s="10"/>
      <c r="U65" s="12" t="s">
        <v>22</v>
      </c>
    </row>
    <row r="66" spans="1:21" x14ac:dyDescent="0.3">
      <c r="A66" s="10">
        <v>65</v>
      </c>
      <c r="B66" s="12"/>
      <c r="C66" s="12"/>
      <c r="D66" s="12">
        <v>65</v>
      </c>
      <c r="E66" s="12" t="e">
        <f ca="1">_xlfn.TEXTJOIN(" ",TRUE,"ID:",A66," 48LQFP:",#REF!,"64LQFP:",B66," 100LQFP:",C66," 144LQFP:",D66)</f>
        <v>#NAME?</v>
      </c>
      <c r="F66" s="12" t="s">
        <v>252</v>
      </c>
      <c r="G66" s="12" t="s">
        <v>253</v>
      </c>
      <c r="H66" s="12" t="s">
        <v>253</v>
      </c>
      <c r="I66" s="12" t="s">
        <v>252</v>
      </c>
      <c r="J66" s="14"/>
      <c r="K66" s="12"/>
      <c r="L66" s="12"/>
      <c r="M66" s="12" t="s">
        <v>19</v>
      </c>
      <c r="N66" s="12" t="s">
        <v>254</v>
      </c>
      <c r="O66" s="12"/>
      <c r="P66" s="12" t="s">
        <v>445</v>
      </c>
      <c r="Q66" s="12" t="s">
        <v>445</v>
      </c>
      <c r="R66" s="12" t="s">
        <v>904</v>
      </c>
      <c r="S66" s="12" t="s">
        <v>446</v>
      </c>
      <c r="T66" s="17"/>
      <c r="U66" s="12" t="s">
        <v>22</v>
      </c>
    </row>
    <row r="67" spans="1:21" x14ac:dyDescent="0.3">
      <c r="A67" s="10">
        <v>66</v>
      </c>
      <c r="B67" s="12"/>
      <c r="C67" s="12"/>
      <c r="D67" s="12">
        <v>66</v>
      </c>
      <c r="E67" s="12" t="e">
        <f ca="1">_xlfn.TEXTJOIN(" ",TRUE,"ID:",A67," 48LQFP:",#REF!,"64LQFP:",B67," 100LQFP:",C67," 144LQFP:",D67)</f>
        <v>#NAME?</v>
      </c>
      <c r="F67" s="12" t="s">
        <v>71</v>
      </c>
      <c r="G67" s="12" t="s">
        <v>71</v>
      </c>
      <c r="H67" s="12" t="s">
        <v>71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0"/>
      <c r="U67" s="12" t="s">
        <v>71</v>
      </c>
    </row>
    <row r="68" spans="1:21" x14ac:dyDescent="0.3">
      <c r="A68" s="10">
        <v>67</v>
      </c>
      <c r="B68" s="12"/>
      <c r="C68" s="12"/>
      <c r="D68" s="12">
        <v>67</v>
      </c>
      <c r="E68" s="12" t="e">
        <f ca="1">_xlfn.TEXTJOIN(" ",TRUE,"ID:",A68," 48LQFP:",#REF!,"64LQFP:",B68," 100LQFP:",C68," 144LQFP:",D68)</f>
        <v>#NAME?</v>
      </c>
      <c r="F68" s="12" t="s">
        <v>70</v>
      </c>
      <c r="G68" s="12" t="s">
        <v>70</v>
      </c>
      <c r="H68" s="12" t="s">
        <v>70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0"/>
      <c r="U68" s="12" t="s">
        <v>70</v>
      </c>
    </row>
    <row r="69" spans="1:21" x14ac:dyDescent="0.3">
      <c r="A69" s="10">
        <v>68</v>
      </c>
      <c r="B69" s="12">
        <v>32</v>
      </c>
      <c r="C69" s="12">
        <v>48</v>
      </c>
      <c r="D69" s="12">
        <v>68</v>
      </c>
      <c r="E69" s="12" t="e">
        <f ca="1">_xlfn.TEXTJOIN(" ",TRUE,"ID:",A69," 48LQFP:",#REF!,"64LQFP:",B69," 100LQFP:",C69," 144LQFP:",D69)</f>
        <v>#NAME?</v>
      </c>
      <c r="F69" s="12" t="s">
        <v>255</v>
      </c>
      <c r="G69" s="12" t="s">
        <v>256</v>
      </c>
      <c r="H69" s="12" t="s">
        <v>256</v>
      </c>
      <c r="I69" s="12" t="s">
        <v>255</v>
      </c>
      <c r="J69" s="12" t="s">
        <v>257</v>
      </c>
      <c r="K69" s="12" t="s">
        <v>128</v>
      </c>
      <c r="L69" s="12" t="s">
        <v>258</v>
      </c>
      <c r="M69" s="12" t="s">
        <v>259</v>
      </c>
      <c r="N69" s="12" t="s">
        <v>260</v>
      </c>
      <c r="O69" s="14"/>
      <c r="P69" s="12" t="s">
        <v>445</v>
      </c>
      <c r="Q69" s="12" t="s">
        <v>445</v>
      </c>
      <c r="R69" s="12" t="s">
        <v>904</v>
      </c>
      <c r="S69" s="12" t="s">
        <v>446</v>
      </c>
      <c r="T69" s="10"/>
      <c r="U69" s="12" t="s">
        <v>22</v>
      </c>
    </row>
    <row r="70" spans="1:21" x14ac:dyDescent="0.3">
      <c r="A70" s="10">
        <v>69</v>
      </c>
      <c r="B70" s="12"/>
      <c r="C70" s="12"/>
      <c r="D70" s="12">
        <v>69</v>
      </c>
      <c r="E70" s="12" t="e">
        <f ca="1">_xlfn.TEXTJOIN(" ",TRUE,"ID:",A70," 48LQFP:",#REF!,"64LQFP:",B70," 100LQFP:",C70," 144LQFP:",D70)</f>
        <v>#NAME?</v>
      </c>
      <c r="F70" s="12" t="s">
        <v>261</v>
      </c>
      <c r="G70" s="12"/>
      <c r="H70" s="12"/>
      <c r="I70" s="12" t="s">
        <v>261</v>
      </c>
      <c r="J70" s="12"/>
      <c r="K70" s="12"/>
      <c r="L70" s="12"/>
      <c r="M70" s="12" t="s">
        <v>25</v>
      </c>
      <c r="N70" s="12" t="s">
        <v>262</v>
      </c>
      <c r="O70" s="14"/>
      <c r="P70" s="12" t="s">
        <v>445</v>
      </c>
      <c r="Q70" s="12" t="s">
        <v>445</v>
      </c>
      <c r="R70" s="12" t="s">
        <v>904</v>
      </c>
      <c r="S70" s="12" t="s">
        <v>446</v>
      </c>
      <c r="T70" s="10"/>
      <c r="U70" s="12" t="s">
        <v>22</v>
      </c>
    </row>
    <row r="71" spans="1:21" x14ac:dyDescent="0.3">
      <c r="A71" s="10">
        <v>70</v>
      </c>
      <c r="B71" s="12"/>
      <c r="C71" s="12">
        <v>49</v>
      </c>
      <c r="D71" s="12">
        <v>70</v>
      </c>
      <c r="E71" s="12" t="e">
        <f ca="1">_xlfn.TEXTJOIN(" ",TRUE,"ID:",A71," 48LQFP:",#REF!,"64LQFP:",B71," 100LQFP:",C71," 144LQFP:",D71)</f>
        <v>#NAME?</v>
      </c>
      <c r="F71" s="12" t="s">
        <v>263</v>
      </c>
      <c r="G71" s="12"/>
      <c r="H71" s="12"/>
      <c r="I71" s="12" t="s">
        <v>263</v>
      </c>
      <c r="J71" s="12" t="s">
        <v>264</v>
      </c>
      <c r="K71" s="12" t="s">
        <v>20</v>
      </c>
      <c r="L71" s="12"/>
      <c r="M71" s="12" t="s">
        <v>106</v>
      </c>
      <c r="N71" s="12" t="s">
        <v>265</v>
      </c>
      <c r="O71" s="14"/>
      <c r="P71" s="12" t="s">
        <v>445</v>
      </c>
      <c r="Q71" s="12" t="s">
        <v>445</v>
      </c>
      <c r="R71" s="12" t="s">
        <v>904</v>
      </c>
      <c r="S71" s="12" t="s">
        <v>446</v>
      </c>
      <c r="T71" s="10"/>
      <c r="U71" s="12" t="s">
        <v>22</v>
      </c>
    </row>
    <row r="72" spans="1:21" x14ac:dyDescent="0.3">
      <c r="A72" s="10">
        <v>71</v>
      </c>
      <c r="B72" s="12"/>
      <c r="C72" s="12">
        <v>50</v>
      </c>
      <c r="D72" s="12">
        <v>71</v>
      </c>
      <c r="E72" s="12" t="e">
        <f ca="1">_xlfn.TEXTJOIN(" ",TRUE,"ID:",A72," 48LQFP:",#REF!,"64LQFP:",B72," 100LQFP:",C72," 144LQFP:",D72)</f>
        <v>#NAME?</v>
      </c>
      <c r="F72" s="12" t="s">
        <v>266</v>
      </c>
      <c r="G72" s="12"/>
      <c r="H72" s="12"/>
      <c r="I72" s="12" t="s">
        <v>266</v>
      </c>
      <c r="J72" s="12" t="s">
        <v>267</v>
      </c>
      <c r="K72" s="12" t="s">
        <v>26</v>
      </c>
      <c r="L72" s="12" t="s">
        <v>44</v>
      </c>
      <c r="M72" s="12" t="s">
        <v>133</v>
      </c>
      <c r="N72" s="12" t="s">
        <v>268</v>
      </c>
      <c r="O72" s="14"/>
      <c r="P72" s="12" t="s">
        <v>445</v>
      </c>
      <c r="Q72" s="12" t="s">
        <v>445</v>
      </c>
      <c r="R72" s="12" t="s">
        <v>904</v>
      </c>
      <c r="S72" s="12" t="s">
        <v>446</v>
      </c>
      <c r="T72" s="10"/>
      <c r="U72" s="12" t="s">
        <v>22</v>
      </c>
    </row>
    <row r="73" spans="1:21" x14ac:dyDescent="0.3">
      <c r="A73" s="10">
        <v>72</v>
      </c>
      <c r="B73" s="12"/>
      <c r="C73" s="12"/>
      <c r="D73" s="12">
        <v>72</v>
      </c>
      <c r="E73" s="12" t="e">
        <f ca="1">_xlfn.TEXTJOIN(" ",TRUE,"ID:",A73," 48LQFP:",#REF!,"64LQFP:",B73," 100LQFP:",C73," 144LQFP:",D73)</f>
        <v>#NAME?</v>
      </c>
      <c r="F73" s="12" t="s">
        <v>269</v>
      </c>
      <c r="G73" s="12"/>
      <c r="H73" s="12"/>
      <c r="I73" s="12" t="s">
        <v>269</v>
      </c>
      <c r="J73" s="12"/>
      <c r="K73" s="12"/>
      <c r="L73" s="12"/>
      <c r="M73" s="12" t="s">
        <v>44</v>
      </c>
      <c r="N73" s="12" t="s">
        <v>270</v>
      </c>
      <c r="O73" s="14"/>
      <c r="P73" s="12" t="s">
        <v>445</v>
      </c>
      <c r="Q73" s="12" t="s">
        <v>445</v>
      </c>
      <c r="R73" s="12" t="s">
        <v>904</v>
      </c>
      <c r="S73" s="12" t="s">
        <v>446</v>
      </c>
      <c r="T73" s="10"/>
      <c r="U73" s="12" t="s">
        <v>22</v>
      </c>
    </row>
    <row r="74" spans="1:21" x14ac:dyDescent="0.3">
      <c r="A74" s="10">
        <v>73</v>
      </c>
      <c r="B74" s="12"/>
      <c r="C74" s="12"/>
      <c r="D74" s="12">
        <v>73</v>
      </c>
      <c r="E74" s="12" t="e">
        <f ca="1">_xlfn.TEXTJOIN(" ",TRUE,"ID:",A74," 48LQFP:",#REF!,"64LQFP:",B74," 100LQFP:",C74," 144LQFP:",D74)</f>
        <v>#NAME?</v>
      </c>
      <c r="F74" s="12" t="s">
        <v>271</v>
      </c>
      <c r="G74" s="12"/>
      <c r="H74" s="12"/>
      <c r="I74" s="12" t="s">
        <v>271</v>
      </c>
      <c r="J74" s="12" t="s">
        <v>128</v>
      </c>
      <c r="K74" s="12"/>
      <c r="L74" s="12"/>
      <c r="M74" s="12"/>
      <c r="N74" s="12" t="s">
        <v>108</v>
      </c>
      <c r="O74" s="12"/>
      <c r="P74" s="12" t="s">
        <v>445</v>
      </c>
      <c r="Q74" s="12" t="s">
        <v>445</v>
      </c>
      <c r="R74" s="12" t="s">
        <v>904</v>
      </c>
      <c r="S74" s="12" t="s">
        <v>446</v>
      </c>
      <c r="T74" s="10"/>
      <c r="U74" s="12" t="s">
        <v>22</v>
      </c>
    </row>
    <row r="75" spans="1:21" x14ac:dyDescent="0.3">
      <c r="A75" s="10">
        <v>74</v>
      </c>
      <c r="B75" s="12"/>
      <c r="C75" s="12">
        <v>51</v>
      </c>
      <c r="D75" s="12">
        <v>74</v>
      </c>
      <c r="E75" s="12" t="e">
        <f ca="1">_xlfn.TEXTJOIN(" ",TRUE,"ID:",A75," 48LQFP:",#REF!,"64LQFP:",B75," 100LQFP:",C75," 144LQFP:",D75)</f>
        <v>#NAME?</v>
      </c>
      <c r="F75" s="12" t="s">
        <v>272</v>
      </c>
      <c r="G75" s="12"/>
      <c r="H75" s="12"/>
      <c r="I75" s="12" t="s">
        <v>272</v>
      </c>
      <c r="J75" s="12" t="s">
        <v>105</v>
      </c>
      <c r="K75" s="12" t="s">
        <v>259</v>
      </c>
      <c r="L75" s="14"/>
      <c r="M75" s="10"/>
      <c r="N75" s="12" t="s">
        <v>273</v>
      </c>
      <c r="O75" s="12"/>
      <c r="P75" s="12" t="s">
        <v>445</v>
      </c>
      <c r="Q75" s="12" t="s">
        <v>445</v>
      </c>
      <c r="R75" s="12" t="s">
        <v>904</v>
      </c>
      <c r="S75" s="12" t="s">
        <v>446</v>
      </c>
      <c r="T75" s="10"/>
      <c r="U75" s="12" t="s">
        <v>22</v>
      </c>
    </row>
    <row r="76" spans="1:21" x14ac:dyDescent="0.3">
      <c r="A76" s="10">
        <v>75</v>
      </c>
      <c r="B76" s="12"/>
      <c r="C76" s="12">
        <v>52</v>
      </c>
      <c r="D76" s="12">
        <v>75</v>
      </c>
      <c r="E76" s="12" t="e">
        <f ca="1">_xlfn.TEXTJOIN(" ",TRUE,"ID:",A76," 48LQFP:",#REF!,"64LQFP:",B76," 100LQFP:",C76," 144LQFP:",D76)</f>
        <v>#NAME?</v>
      </c>
      <c r="F76" s="12" t="s">
        <v>274</v>
      </c>
      <c r="G76" s="14"/>
      <c r="H76" s="14"/>
      <c r="I76" s="12" t="s">
        <v>274</v>
      </c>
      <c r="J76" s="12" t="s">
        <v>240</v>
      </c>
      <c r="K76" s="12" t="s">
        <v>159</v>
      </c>
      <c r="L76" s="12" t="s">
        <v>44</v>
      </c>
      <c r="M76" s="12" t="s">
        <v>174</v>
      </c>
      <c r="N76" s="12" t="s">
        <v>275</v>
      </c>
      <c r="O76" s="12" t="s">
        <v>276</v>
      </c>
      <c r="P76" s="12" t="s">
        <v>445</v>
      </c>
      <c r="Q76" s="12" t="s">
        <v>445</v>
      </c>
      <c r="R76" s="12" t="s">
        <v>904</v>
      </c>
      <c r="S76" s="12" t="s">
        <v>446</v>
      </c>
      <c r="T76" s="10"/>
      <c r="U76" s="12" t="s">
        <v>22</v>
      </c>
    </row>
    <row r="77" spans="1:21" x14ac:dyDescent="0.3">
      <c r="A77" s="10">
        <v>76</v>
      </c>
      <c r="B77" s="12"/>
      <c r="C77" s="12"/>
      <c r="D77" s="12">
        <v>76</v>
      </c>
      <c r="E77" s="12" t="e">
        <f ca="1">_xlfn.TEXTJOIN(" ",TRUE,"ID:",A77," 48LQFP:",#REF!,"64LQFP:",B77," 100LQFP:",C77," 144LQFP:",D77)</f>
        <v>#NAME?</v>
      </c>
      <c r="F77" s="12" t="s">
        <v>277</v>
      </c>
      <c r="G77" s="12"/>
      <c r="H77" s="12"/>
      <c r="I77" s="12" t="s">
        <v>277</v>
      </c>
      <c r="J77" s="12" t="s">
        <v>138</v>
      </c>
      <c r="K77" s="12"/>
      <c r="L77" s="12"/>
      <c r="M77" s="12"/>
      <c r="N77" s="12" t="s">
        <v>148</v>
      </c>
      <c r="O77" s="12" t="s">
        <v>178</v>
      </c>
      <c r="P77" s="12" t="s">
        <v>445</v>
      </c>
      <c r="Q77" s="12" t="s">
        <v>445</v>
      </c>
      <c r="R77" s="12" t="s">
        <v>904</v>
      </c>
      <c r="S77" s="12" t="s">
        <v>446</v>
      </c>
      <c r="T77" s="10"/>
      <c r="U77" s="12" t="s">
        <v>22</v>
      </c>
    </row>
    <row r="78" spans="1:21" x14ac:dyDescent="0.3">
      <c r="A78" s="10">
        <v>77</v>
      </c>
      <c r="B78" s="12">
        <v>33</v>
      </c>
      <c r="C78" s="12">
        <v>53</v>
      </c>
      <c r="D78" s="12">
        <v>77</v>
      </c>
      <c r="E78" s="12" t="e">
        <f ca="1">_xlfn.TEXTJOIN(" ",TRUE,"ID:",A78," 48LQFP:",#REF!,"64LQFP:",B78," 100LQFP:",C78," 144LQFP:",D78)</f>
        <v>#NAME?</v>
      </c>
      <c r="F78" s="12" t="s">
        <v>278</v>
      </c>
      <c r="G78" s="12" t="s">
        <v>279</v>
      </c>
      <c r="H78" s="12" t="s">
        <v>279</v>
      </c>
      <c r="I78" s="12" t="s">
        <v>278</v>
      </c>
      <c r="J78" s="12" t="s">
        <v>100</v>
      </c>
      <c r="K78" s="12" t="s">
        <v>117</v>
      </c>
      <c r="L78" s="12" t="s">
        <v>280</v>
      </c>
      <c r="M78" s="12" t="s">
        <v>58</v>
      </c>
      <c r="N78" s="12" t="s">
        <v>50</v>
      </c>
      <c r="O78" s="12"/>
      <c r="P78" s="12" t="s">
        <v>445</v>
      </c>
      <c r="Q78" s="12" t="s">
        <v>445</v>
      </c>
      <c r="R78" s="12" t="s">
        <v>904</v>
      </c>
      <c r="S78" s="12" t="s">
        <v>446</v>
      </c>
      <c r="T78" s="15" t="s">
        <v>281</v>
      </c>
      <c r="U78" s="12" t="s">
        <v>22</v>
      </c>
    </row>
    <row r="79" spans="1:21" x14ac:dyDescent="0.3">
      <c r="A79" s="10">
        <v>78</v>
      </c>
      <c r="B79" s="12">
        <v>34</v>
      </c>
      <c r="C79" s="12">
        <v>54</v>
      </c>
      <c r="D79" s="12">
        <v>78</v>
      </c>
      <c r="E79" s="12" t="e">
        <f ca="1">_xlfn.TEXTJOIN(" ",TRUE,"ID:",A79," 48LQFP:",#REF!,"64LQFP:",B79," 100LQFP:",C79," 144LQFP:",D79)</f>
        <v>#NAME?</v>
      </c>
      <c r="F79" s="12" t="s">
        <v>282</v>
      </c>
      <c r="G79" s="12" t="s">
        <v>283</v>
      </c>
      <c r="H79" s="12" t="s">
        <v>283</v>
      </c>
      <c r="I79" s="12" t="s">
        <v>282</v>
      </c>
      <c r="J79" s="12" t="s">
        <v>109</v>
      </c>
      <c r="K79" s="12" t="s">
        <v>87</v>
      </c>
      <c r="L79" s="12" t="s">
        <v>284</v>
      </c>
      <c r="M79" s="12" t="s">
        <v>65</v>
      </c>
      <c r="N79" s="12" t="s">
        <v>150</v>
      </c>
      <c r="O79" s="12"/>
      <c r="P79" s="12" t="s">
        <v>445</v>
      </c>
      <c r="Q79" s="12" t="s">
        <v>445</v>
      </c>
      <c r="R79" s="12" t="s">
        <v>904</v>
      </c>
      <c r="S79" s="12" t="s">
        <v>446</v>
      </c>
      <c r="T79" s="15" t="s">
        <v>285</v>
      </c>
      <c r="U79" s="12" t="s">
        <v>22</v>
      </c>
    </row>
    <row r="80" spans="1:21" x14ac:dyDescent="0.3">
      <c r="A80" s="10">
        <v>79</v>
      </c>
      <c r="B80" s="12"/>
      <c r="C80" s="12"/>
      <c r="D80" s="12">
        <v>79</v>
      </c>
      <c r="E80" s="12" t="e">
        <f ca="1">_xlfn.TEXTJOIN(" ",TRUE,"ID:",A80," 48LQFP:",#REF!,"64LQFP:",B80," 100LQFP:",C80," 144LQFP:",D80)</f>
        <v>#NAME?</v>
      </c>
      <c r="F80" s="12" t="s">
        <v>286</v>
      </c>
      <c r="G80" s="12"/>
      <c r="H80" s="12"/>
      <c r="I80" s="12" t="s">
        <v>286</v>
      </c>
      <c r="J80" s="12" t="s">
        <v>270</v>
      </c>
      <c r="K80" s="12" t="s">
        <v>264</v>
      </c>
      <c r="L80" s="12"/>
      <c r="M80" s="12" t="s">
        <v>156</v>
      </c>
      <c r="N80" s="12"/>
      <c r="O80" s="12" t="s">
        <v>203</v>
      </c>
      <c r="P80" s="12" t="s">
        <v>445</v>
      </c>
      <c r="Q80" s="12" t="s">
        <v>445</v>
      </c>
      <c r="R80" s="12" t="s">
        <v>904</v>
      </c>
      <c r="S80" s="12" t="s">
        <v>446</v>
      </c>
      <c r="T80" s="10"/>
      <c r="U80" s="12" t="s">
        <v>22</v>
      </c>
    </row>
    <row r="81" spans="1:21" x14ac:dyDescent="0.3">
      <c r="A81" s="10">
        <v>80</v>
      </c>
      <c r="B81" s="12">
        <v>35</v>
      </c>
      <c r="C81" s="12">
        <v>55</v>
      </c>
      <c r="D81" s="12">
        <v>80</v>
      </c>
      <c r="E81" s="12" t="e">
        <f ca="1">_xlfn.TEXTJOIN(" ",TRUE,"ID:",A81," 48LQFP:",#REF!,"64LQFP:",B81," 100LQFP:",C81," 144LQFP:",D81)</f>
        <v>#NAME?</v>
      </c>
      <c r="F81" s="12" t="s">
        <v>287</v>
      </c>
      <c r="G81" s="12"/>
      <c r="H81" s="12"/>
      <c r="I81" s="12" t="s">
        <v>287</v>
      </c>
      <c r="J81" s="12" t="s">
        <v>140</v>
      </c>
      <c r="K81" s="12" t="s">
        <v>288</v>
      </c>
      <c r="L81" s="12" t="s">
        <v>289</v>
      </c>
      <c r="M81" s="12" t="s">
        <v>69</v>
      </c>
      <c r="N81" s="12" t="s">
        <v>121</v>
      </c>
      <c r="O81" s="12" t="s">
        <v>82</v>
      </c>
      <c r="P81" s="12" t="s">
        <v>445</v>
      </c>
      <c r="Q81" s="12" t="s">
        <v>445</v>
      </c>
      <c r="R81" s="12" t="s">
        <v>445</v>
      </c>
      <c r="S81" s="12" t="s">
        <v>446</v>
      </c>
      <c r="T81" s="10"/>
      <c r="U81" s="12" t="s">
        <v>22</v>
      </c>
    </row>
    <row r="82" spans="1:21" x14ac:dyDescent="0.3">
      <c r="A82" s="10">
        <v>81</v>
      </c>
      <c r="B82" s="12">
        <v>36</v>
      </c>
      <c r="C82" s="12">
        <v>56</v>
      </c>
      <c r="D82" s="12">
        <v>81</v>
      </c>
      <c r="E82" s="12" t="e">
        <f ca="1">_xlfn.TEXTJOIN(" ",TRUE,"ID:",A82," 48LQFP:",#REF!,"64LQFP:",B82," 100LQFP:",C82," 144LQFP:",D82)</f>
        <v>#NAME?</v>
      </c>
      <c r="F82" s="12" t="s">
        <v>290</v>
      </c>
      <c r="G82" s="12" t="s">
        <v>291</v>
      </c>
      <c r="H82" s="12" t="s">
        <v>291</v>
      </c>
      <c r="I82" s="12" t="s">
        <v>290</v>
      </c>
      <c r="J82" s="12" t="s">
        <v>143</v>
      </c>
      <c r="K82" s="12" t="s">
        <v>292</v>
      </c>
      <c r="L82" s="12" t="s">
        <v>293</v>
      </c>
      <c r="M82" s="12" t="s">
        <v>85</v>
      </c>
      <c r="N82" s="12" t="s">
        <v>128</v>
      </c>
      <c r="O82" s="12" t="s">
        <v>77</v>
      </c>
      <c r="P82" s="12" t="s">
        <v>445</v>
      </c>
      <c r="Q82" s="12" t="s">
        <v>445</v>
      </c>
      <c r="R82" s="12" t="s">
        <v>445</v>
      </c>
      <c r="S82" s="12" t="s">
        <v>446</v>
      </c>
      <c r="T82" s="10"/>
      <c r="U82" s="12" t="s">
        <v>22</v>
      </c>
    </row>
    <row r="83" spans="1:21" x14ac:dyDescent="0.3">
      <c r="A83" s="10">
        <v>82</v>
      </c>
      <c r="B83" s="12"/>
      <c r="C83" s="12"/>
      <c r="D83" s="12">
        <v>82</v>
      </c>
      <c r="E83" s="12" t="e">
        <f ca="1">_xlfn.TEXTJOIN(" ",TRUE,"ID:",A83," 48LQFP:",#REF!,"64LQFP:",B83," 100LQFP:",C83," 144LQFP:",D83)</f>
        <v>#NAME?</v>
      </c>
      <c r="F83" s="12" t="s">
        <v>294</v>
      </c>
      <c r="G83" s="12"/>
      <c r="H83" s="12"/>
      <c r="I83" s="12" t="s">
        <v>294</v>
      </c>
      <c r="J83" s="12" t="s">
        <v>53</v>
      </c>
      <c r="K83" s="12"/>
      <c r="L83" s="12"/>
      <c r="M83" s="12" t="s">
        <v>153</v>
      </c>
      <c r="N83" s="12"/>
      <c r="O83" s="12" t="s">
        <v>209</v>
      </c>
      <c r="P83" s="12" t="s">
        <v>445</v>
      </c>
      <c r="Q83" s="12" t="s">
        <v>445</v>
      </c>
      <c r="R83" s="12" t="s">
        <v>904</v>
      </c>
      <c r="S83" s="12" t="s">
        <v>446</v>
      </c>
      <c r="T83" s="10"/>
      <c r="U83" s="12" t="s">
        <v>22</v>
      </c>
    </row>
    <row r="84" spans="1:21" x14ac:dyDescent="0.3">
      <c r="A84" s="10">
        <v>83</v>
      </c>
      <c r="B84" s="12">
        <v>37</v>
      </c>
      <c r="C84" s="12">
        <v>57</v>
      </c>
      <c r="D84" s="12">
        <v>83</v>
      </c>
      <c r="E84" s="12" t="e">
        <f ca="1">_xlfn.TEXTJOIN(" ",TRUE,"ID:",A84," 48LQFP:",#REF!,"64LQFP:",B84," 100LQFP:",C84," 144LQFP:",D84)</f>
        <v>#NAME?</v>
      </c>
      <c r="F84" s="12" t="s">
        <v>295</v>
      </c>
      <c r="G84" s="12" t="s">
        <v>296</v>
      </c>
      <c r="H84" s="12" t="s">
        <v>296</v>
      </c>
      <c r="I84" s="12" t="s">
        <v>295</v>
      </c>
      <c r="J84" s="12" t="s">
        <v>111</v>
      </c>
      <c r="K84" s="12" t="s">
        <v>108</v>
      </c>
      <c r="L84" s="12" t="s">
        <v>297</v>
      </c>
      <c r="M84" s="12" t="s">
        <v>160</v>
      </c>
      <c r="N84" s="12" t="s">
        <v>199</v>
      </c>
      <c r="O84" s="12" t="s">
        <v>18</v>
      </c>
      <c r="P84" s="12" t="s">
        <v>445</v>
      </c>
      <c r="Q84" s="12" t="s">
        <v>445</v>
      </c>
      <c r="R84" s="12" t="s">
        <v>904</v>
      </c>
      <c r="S84" s="12" t="s">
        <v>446</v>
      </c>
      <c r="T84" s="15" t="s">
        <v>298</v>
      </c>
      <c r="U84" s="12" t="s">
        <v>22</v>
      </c>
    </row>
    <row r="85" spans="1:21" x14ac:dyDescent="0.3">
      <c r="A85" s="10">
        <v>84</v>
      </c>
      <c r="B85" s="12"/>
      <c r="C85" s="12"/>
      <c r="D85" s="12">
        <v>84</v>
      </c>
      <c r="E85" s="12" t="e">
        <f ca="1">_xlfn.TEXTJOIN(" ",TRUE,"ID:",A85," 48LQFP:",#REF!,"64LQFP:",B85," 100LQFP:",C85," 144LQFP:",D85)</f>
        <v>#NAME?</v>
      </c>
      <c r="F85" s="12" t="s">
        <v>299</v>
      </c>
      <c r="G85" s="12"/>
      <c r="H85" s="12"/>
      <c r="I85" s="12" t="s">
        <v>299</v>
      </c>
      <c r="J85" s="12" t="s">
        <v>114</v>
      </c>
      <c r="K85" s="12"/>
      <c r="L85" s="12"/>
      <c r="M85" s="12"/>
      <c r="N85" s="12"/>
      <c r="O85" s="12"/>
      <c r="P85" s="12" t="s">
        <v>445</v>
      </c>
      <c r="Q85" s="12" t="s">
        <v>445</v>
      </c>
      <c r="R85" s="12" t="s">
        <v>904</v>
      </c>
      <c r="S85" s="12" t="s">
        <v>446</v>
      </c>
      <c r="T85" s="10"/>
      <c r="U85" s="12" t="s">
        <v>22</v>
      </c>
    </row>
    <row r="86" spans="1:21" x14ac:dyDescent="0.3">
      <c r="A86" s="10">
        <v>85</v>
      </c>
      <c r="B86" s="12">
        <v>38</v>
      </c>
      <c r="C86" s="12">
        <v>58</v>
      </c>
      <c r="D86" s="12">
        <v>85</v>
      </c>
      <c r="E86" s="12" t="e">
        <f ca="1">_xlfn.TEXTJOIN(" ",TRUE,"ID:",A86," 48LQFP:",#REF!,"64LQFP:",B86," 100LQFP:",C86," 144LQFP:",D86)</f>
        <v>#NAME?</v>
      </c>
      <c r="F86" s="12" t="s">
        <v>300</v>
      </c>
      <c r="G86" s="12" t="s">
        <v>301</v>
      </c>
      <c r="H86" s="12" t="s">
        <v>301</v>
      </c>
      <c r="I86" s="12" t="s">
        <v>300</v>
      </c>
      <c r="J86" s="12" t="s">
        <v>89</v>
      </c>
      <c r="K86" s="12" t="s">
        <v>149</v>
      </c>
      <c r="L86" s="12" t="s">
        <v>194</v>
      </c>
      <c r="M86" s="12" t="s">
        <v>132</v>
      </c>
      <c r="N86" s="12" t="s">
        <v>116</v>
      </c>
      <c r="O86" s="12" t="s">
        <v>24</v>
      </c>
      <c r="P86" s="12" t="s">
        <v>445</v>
      </c>
      <c r="Q86" s="12" t="s">
        <v>445</v>
      </c>
      <c r="R86" s="12" t="s">
        <v>904</v>
      </c>
      <c r="S86" s="12" t="s">
        <v>446</v>
      </c>
      <c r="T86" s="15" t="s">
        <v>302</v>
      </c>
      <c r="U86" s="12" t="s">
        <v>22</v>
      </c>
    </row>
    <row r="87" spans="1:21" x14ac:dyDescent="0.3">
      <c r="A87" s="10">
        <v>86</v>
      </c>
      <c r="B87" s="12"/>
      <c r="C87" s="12"/>
      <c r="D87" s="12">
        <v>86</v>
      </c>
      <c r="E87" s="12" t="e">
        <f ca="1">_xlfn.TEXTJOIN(" ",TRUE,"ID:",A87," 48LQFP:",#REF!,"64LQFP:",B87," 100LQFP:",C87," 144LQFP:",D87)</f>
        <v>#NAME?</v>
      </c>
      <c r="F87" s="12" t="s">
        <v>303</v>
      </c>
      <c r="G87" s="12"/>
      <c r="H87" s="12"/>
      <c r="I87" s="12" t="s">
        <v>303</v>
      </c>
      <c r="J87" s="12" t="s">
        <v>136</v>
      </c>
      <c r="K87" s="12"/>
      <c r="L87" s="12" t="s">
        <v>153</v>
      </c>
      <c r="M87" s="12"/>
      <c r="N87" s="12"/>
      <c r="O87" s="12"/>
      <c r="P87" s="12" t="s">
        <v>445</v>
      </c>
      <c r="Q87" s="12" t="s">
        <v>445</v>
      </c>
      <c r="R87" s="12" t="s">
        <v>904</v>
      </c>
      <c r="S87" s="12" t="s">
        <v>446</v>
      </c>
      <c r="T87" s="10"/>
      <c r="U87" s="12" t="s">
        <v>22</v>
      </c>
    </row>
    <row r="88" spans="1:21" x14ac:dyDescent="0.3">
      <c r="A88" s="10">
        <v>87</v>
      </c>
      <c r="B88" s="12">
        <v>39</v>
      </c>
      <c r="C88" s="12">
        <v>59</v>
      </c>
      <c r="D88" s="12">
        <v>87</v>
      </c>
      <c r="E88" s="12" t="e">
        <f ca="1">_xlfn.TEXTJOIN(" ",TRUE,"ID:",A88," 48LQFP:",#REF!,"64LQFP:",B88," 100LQFP:",C88," 144LQFP:",D88)</f>
        <v>#NAME?</v>
      </c>
      <c r="F88" s="12" t="s">
        <v>304</v>
      </c>
      <c r="G88" s="12"/>
      <c r="H88" s="12"/>
      <c r="I88" s="12" t="s">
        <v>304</v>
      </c>
      <c r="J88" s="12" t="s">
        <v>131</v>
      </c>
      <c r="K88" s="12" t="s">
        <v>305</v>
      </c>
      <c r="L88" s="12" t="s">
        <v>197</v>
      </c>
      <c r="M88" s="12"/>
      <c r="N88" s="12" t="s">
        <v>78</v>
      </c>
      <c r="O88" s="12"/>
      <c r="P88" s="12" t="s">
        <v>445</v>
      </c>
      <c r="Q88" s="12" t="s">
        <v>445</v>
      </c>
      <c r="R88" s="12" t="s">
        <v>904</v>
      </c>
      <c r="S88" s="12" t="s">
        <v>446</v>
      </c>
      <c r="T88" s="10"/>
      <c r="U88" s="12" t="s">
        <v>22</v>
      </c>
    </row>
    <row r="89" spans="1:21" x14ac:dyDescent="0.3">
      <c r="A89" s="10">
        <v>88</v>
      </c>
      <c r="B89" s="12"/>
      <c r="C89" s="12"/>
      <c r="D89" s="12">
        <v>88</v>
      </c>
      <c r="E89" s="12" t="e">
        <f ca="1">_xlfn.TEXTJOIN(" ",TRUE,"ID:",A89," 48LQFP:",#REF!,"64LQFP:",B89," 100LQFP:",C89," 144LQFP:",D89)</f>
        <v>#NAME?</v>
      </c>
      <c r="F89" s="12" t="s">
        <v>306</v>
      </c>
      <c r="G89" s="12" t="s">
        <v>307</v>
      </c>
      <c r="H89" s="12" t="s">
        <v>307</v>
      </c>
      <c r="I89" s="12" t="s">
        <v>306</v>
      </c>
      <c r="J89" s="12" t="s">
        <v>148</v>
      </c>
      <c r="K89" s="14"/>
      <c r="L89" s="12" t="s">
        <v>156</v>
      </c>
      <c r="M89" s="12" t="s">
        <v>153</v>
      </c>
      <c r="N89" s="12"/>
      <c r="O89" s="12"/>
      <c r="P89" s="12" t="s">
        <v>445</v>
      </c>
      <c r="Q89" s="12" t="s">
        <v>445</v>
      </c>
      <c r="R89" s="12" t="s">
        <v>904</v>
      </c>
      <c r="S89" s="12" t="s">
        <v>446</v>
      </c>
      <c r="T89" s="10"/>
      <c r="U89" s="12" t="s">
        <v>22</v>
      </c>
    </row>
    <row r="90" spans="1:21" x14ac:dyDescent="0.3">
      <c r="A90" s="10">
        <v>89</v>
      </c>
      <c r="B90" s="12"/>
      <c r="C90" s="12"/>
      <c r="D90" s="12">
        <v>89</v>
      </c>
      <c r="E90" s="12" t="e">
        <f ca="1">_xlfn.TEXTJOIN(" ",TRUE,"ID:",A90," 48LQFP:",#REF!,"64LQFP:",B90," 100LQFP:",C90," 144LQFP:",D90)</f>
        <v>#NAME?</v>
      </c>
      <c r="F90" s="12" t="s">
        <v>308</v>
      </c>
      <c r="G90" s="12" t="s">
        <v>309</v>
      </c>
      <c r="H90" s="12" t="s">
        <v>309</v>
      </c>
      <c r="I90" s="12" t="s">
        <v>308</v>
      </c>
      <c r="J90" s="14"/>
      <c r="K90" s="14"/>
      <c r="L90" s="12"/>
      <c r="M90" s="12" t="s">
        <v>156</v>
      </c>
      <c r="N90" s="12"/>
      <c r="O90" s="12"/>
      <c r="P90" s="12" t="s">
        <v>445</v>
      </c>
      <c r="Q90" s="12" t="s">
        <v>445</v>
      </c>
      <c r="R90" s="12" t="s">
        <v>904</v>
      </c>
      <c r="S90" s="12" t="s">
        <v>446</v>
      </c>
      <c r="T90" s="10"/>
      <c r="U90" s="12" t="s">
        <v>22</v>
      </c>
    </row>
    <row r="91" spans="1:21" x14ac:dyDescent="0.3">
      <c r="A91" s="10">
        <v>90</v>
      </c>
      <c r="B91" s="12">
        <v>40</v>
      </c>
      <c r="C91" s="12">
        <v>60</v>
      </c>
      <c r="D91" s="12">
        <v>90</v>
      </c>
      <c r="E91" s="12" t="e">
        <f ca="1">_xlfn.TEXTJOIN(" ",TRUE,"ID:",A91," 48LQFP:",#REF!,"64LQFP:",B91," 100LQFP:",C91," 144LQFP:",D91)</f>
        <v>#NAME?</v>
      </c>
      <c r="F91" s="12" t="s">
        <v>71</v>
      </c>
      <c r="G91" s="12" t="s">
        <v>71</v>
      </c>
      <c r="H91" s="12" t="s">
        <v>71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0"/>
      <c r="U91" s="12" t="s">
        <v>71</v>
      </c>
    </row>
    <row r="92" spans="1:21" x14ac:dyDescent="0.3">
      <c r="A92" s="10">
        <v>91</v>
      </c>
      <c r="B92" s="12">
        <v>41</v>
      </c>
      <c r="C92" s="12">
        <v>61</v>
      </c>
      <c r="D92" s="12">
        <v>91</v>
      </c>
      <c r="E92" s="12" t="e">
        <f ca="1">_xlfn.TEXTJOIN(" ",TRUE,"ID:",A92," 48LQFP:",#REF!,"64LQFP:",B92," 100LQFP:",C92," 144LQFP:",D92)</f>
        <v>#NAME?</v>
      </c>
      <c r="F92" s="12" t="s">
        <v>70</v>
      </c>
      <c r="G92" s="12" t="s">
        <v>70</v>
      </c>
      <c r="H92" s="12" t="s">
        <v>70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0"/>
      <c r="U92" s="12" t="s">
        <v>70</v>
      </c>
    </row>
    <row r="93" spans="1:21" x14ac:dyDescent="0.3">
      <c r="A93" s="10">
        <v>92</v>
      </c>
      <c r="B93" s="12"/>
      <c r="C93" s="12">
        <v>62</v>
      </c>
      <c r="D93" s="12">
        <v>92</v>
      </c>
      <c r="E93" s="12" t="e">
        <f ca="1">_xlfn.TEXTJOIN(" ",TRUE,"ID:",A93," 48LQFP:",#REF!,"64LQFP:",B93," 100LQFP:",C93," 144LQFP:",D93)</f>
        <v>#NAME?</v>
      </c>
      <c r="F93" s="12" t="s">
        <v>310</v>
      </c>
      <c r="G93" s="12"/>
      <c r="H93" s="12"/>
      <c r="I93" s="12" t="s">
        <v>310</v>
      </c>
      <c r="J93" s="12" t="s">
        <v>159</v>
      </c>
      <c r="K93" s="12" t="s">
        <v>305</v>
      </c>
      <c r="L93" s="12" t="s">
        <v>66</v>
      </c>
      <c r="M93" s="14"/>
      <c r="N93" s="12" t="s">
        <v>94</v>
      </c>
      <c r="O93" s="14"/>
      <c r="P93" s="12" t="s">
        <v>445</v>
      </c>
      <c r="Q93" s="12" t="s">
        <v>445</v>
      </c>
      <c r="R93" s="12" t="s">
        <v>904</v>
      </c>
      <c r="S93" s="12" t="s">
        <v>446</v>
      </c>
      <c r="T93" s="10"/>
      <c r="U93" s="12" t="s">
        <v>22</v>
      </c>
    </row>
    <row r="94" spans="1:21" x14ac:dyDescent="0.3">
      <c r="A94" s="10">
        <v>93</v>
      </c>
      <c r="B94" s="12"/>
      <c r="C94" s="12">
        <v>63</v>
      </c>
      <c r="D94" s="12">
        <v>93</v>
      </c>
      <c r="E94" s="12" t="e">
        <f ca="1">_xlfn.TEXTJOIN(" ",TRUE,"ID:",A94," 48LQFP:",#REF!,"64LQFP:",B94," 100LQFP:",C94," 144LQFP:",D94)</f>
        <v>#NAME?</v>
      </c>
      <c r="F94" s="12" t="s">
        <v>311</v>
      </c>
      <c r="G94" s="14"/>
      <c r="H94" s="14"/>
      <c r="I94" s="12" t="s">
        <v>311</v>
      </c>
      <c r="J94" s="12" t="s">
        <v>165</v>
      </c>
      <c r="K94" s="12" t="s">
        <v>312</v>
      </c>
      <c r="L94" s="14"/>
      <c r="M94" s="12"/>
      <c r="N94" s="12" t="s">
        <v>104</v>
      </c>
      <c r="O94" s="14"/>
      <c r="P94" s="12" t="s">
        <v>445</v>
      </c>
      <c r="Q94" s="12" t="s">
        <v>445</v>
      </c>
      <c r="R94" s="12" t="s">
        <v>904</v>
      </c>
      <c r="S94" s="12" t="s">
        <v>446</v>
      </c>
      <c r="T94" s="10"/>
      <c r="U94" s="12" t="s">
        <v>22</v>
      </c>
    </row>
    <row r="95" spans="1:21" x14ac:dyDescent="0.3">
      <c r="A95" s="10">
        <v>94</v>
      </c>
      <c r="B95" s="12"/>
      <c r="C95" s="12">
        <v>64</v>
      </c>
      <c r="D95" s="12">
        <v>94</v>
      </c>
      <c r="E95" s="12" t="e">
        <f ca="1">_xlfn.TEXTJOIN(" ",TRUE,"ID:",A95," 48LQFP:",#REF!,"64LQFP:",B95," 100LQFP:",C95," 144LQFP:",D95)</f>
        <v>#NAME?</v>
      </c>
      <c r="F95" s="12" t="s">
        <v>313</v>
      </c>
      <c r="G95" s="12" t="s">
        <v>314</v>
      </c>
      <c r="H95" s="12" t="s">
        <v>314</v>
      </c>
      <c r="I95" s="12" t="s">
        <v>313</v>
      </c>
      <c r="J95" s="12" t="s">
        <v>169</v>
      </c>
      <c r="K95" s="12" t="s">
        <v>99</v>
      </c>
      <c r="L95" s="14"/>
      <c r="M95" s="12"/>
      <c r="N95" s="12"/>
      <c r="O95" s="14"/>
      <c r="P95" s="12" t="s">
        <v>445</v>
      </c>
      <c r="Q95" s="12" t="s">
        <v>445</v>
      </c>
      <c r="R95" s="12" t="s">
        <v>904</v>
      </c>
      <c r="S95" s="12" t="s">
        <v>446</v>
      </c>
      <c r="T95" s="10"/>
      <c r="U95" s="12" t="s">
        <v>22</v>
      </c>
    </row>
    <row r="96" spans="1:21" x14ac:dyDescent="0.3">
      <c r="A96" s="10">
        <v>95</v>
      </c>
      <c r="B96" s="12"/>
      <c r="C96" s="12">
        <v>65</v>
      </c>
      <c r="D96" s="12">
        <v>95</v>
      </c>
      <c r="E96" s="12" t="e">
        <f ca="1">_xlfn.TEXTJOIN(" ",TRUE,"ID:",A96," 48LQFP:",#REF!,"64LQFP:",B96," 100LQFP:",C96," 144LQFP:",D96)</f>
        <v>#NAME?</v>
      </c>
      <c r="F96" s="12" t="s">
        <v>315</v>
      </c>
      <c r="G96" s="12" t="s">
        <v>316</v>
      </c>
      <c r="H96" s="12" t="s">
        <v>316</v>
      </c>
      <c r="I96" s="12" t="s">
        <v>315</v>
      </c>
      <c r="J96" s="12" t="s">
        <v>173</v>
      </c>
      <c r="K96" s="12" t="s">
        <v>93</v>
      </c>
      <c r="L96" s="12"/>
      <c r="M96" s="12"/>
      <c r="N96" s="14"/>
      <c r="O96" s="14"/>
      <c r="P96" s="12" t="s">
        <v>445</v>
      </c>
      <c r="Q96" s="12" t="s">
        <v>445</v>
      </c>
      <c r="R96" s="12" t="s">
        <v>904</v>
      </c>
      <c r="S96" s="12" t="s">
        <v>446</v>
      </c>
      <c r="T96" s="17"/>
      <c r="U96" s="12" t="s">
        <v>22</v>
      </c>
    </row>
    <row r="97" spans="1:21" x14ac:dyDescent="0.3">
      <c r="A97" s="10">
        <v>96</v>
      </c>
      <c r="B97" s="12"/>
      <c r="C97" s="12">
        <v>66</v>
      </c>
      <c r="D97" s="12">
        <v>96</v>
      </c>
      <c r="E97" s="12" t="e">
        <f ca="1">_xlfn.TEXTJOIN(" ",TRUE,"ID:",A97," 48LQFP:",#REF!,"64LQFP:",B97," 100LQFP:",C97," 144LQFP:",D97)</f>
        <v>#NAME?</v>
      </c>
      <c r="F97" s="12" t="s">
        <v>317</v>
      </c>
      <c r="G97" s="12" t="s">
        <v>318</v>
      </c>
      <c r="H97" s="12" t="s">
        <v>318</v>
      </c>
      <c r="I97" s="12" t="s">
        <v>317</v>
      </c>
      <c r="J97" s="12" t="s">
        <v>30</v>
      </c>
      <c r="K97" s="12" t="s">
        <v>31</v>
      </c>
      <c r="L97" s="12"/>
      <c r="M97" s="12"/>
      <c r="N97" s="14"/>
      <c r="O97" s="14"/>
      <c r="P97" s="12" t="s">
        <v>445</v>
      </c>
      <c r="Q97" s="12" t="s">
        <v>445</v>
      </c>
      <c r="R97" s="12" t="s">
        <v>904</v>
      </c>
      <c r="S97" s="12" t="s">
        <v>446</v>
      </c>
      <c r="T97" s="10"/>
      <c r="U97" s="12" t="s">
        <v>22</v>
      </c>
    </row>
    <row r="98" spans="1:21" x14ac:dyDescent="0.3">
      <c r="A98" s="10">
        <v>97</v>
      </c>
      <c r="B98" s="12">
        <v>42</v>
      </c>
      <c r="C98" s="12">
        <v>67</v>
      </c>
      <c r="D98" s="12">
        <v>97</v>
      </c>
      <c r="E98" s="12" t="e">
        <f ca="1">_xlfn.TEXTJOIN(" ",TRUE,"ID:",A98," 48LQFP:",#REF!,"64LQFP:",B98," 100LQFP:",C98," 144LQFP:",D98)</f>
        <v>#NAME?</v>
      </c>
      <c r="F98" s="12" t="s">
        <v>319</v>
      </c>
      <c r="G98" s="12" t="s">
        <v>320</v>
      </c>
      <c r="H98" s="12" t="s">
        <v>320</v>
      </c>
      <c r="I98" s="12" t="s">
        <v>319</v>
      </c>
      <c r="J98" s="12" t="s">
        <v>120</v>
      </c>
      <c r="K98" s="12" t="s">
        <v>321</v>
      </c>
      <c r="L98" s="12" t="s">
        <v>222</v>
      </c>
      <c r="M98" s="12"/>
      <c r="N98" s="12" t="s">
        <v>322</v>
      </c>
      <c r="O98" s="14"/>
      <c r="P98" s="12" t="s">
        <v>445</v>
      </c>
      <c r="Q98" s="12" t="s">
        <v>445</v>
      </c>
      <c r="R98" s="12" t="s">
        <v>904</v>
      </c>
      <c r="S98" s="12" t="s">
        <v>446</v>
      </c>
      <c r="T98" s="15" t="s">
        <v>323</v>
      </c>
      <c r="U98" s="12" t="s">
        <v>22</v>
      </c>
    </row>
    <row r="99" spans="1:21" x14ac:dyDescent="0.3">
      <c r="A99" s="10">
        <v>98</v>
      </c>
      <c r="B99" s="12">
        <v>43</v>
      </c>
      <c r="C99" s="12">
        <v>68</v>
      </c>
      <c r="D99" s="12">
        <v>98</v>
      </c>
      <c r="E99" s="12" t="e">
        <f ca="1">_xlfn.TEXTJOIN(" ",TRUE,"ID:",A99," 48LQFP:",#REF!,"64LQFP:",B99," 100LQFP:",C99," 144LQFP:",D99)</f>
        <v>#NAME?</v>
      </c>
      <c r="F99" s="12" t="s">
        <v>324</v>
      </c>
      <c r="G99" s="12" t="s">
        <v>325</v>
      </c>
      <c r="H99" s="12" t="s">
        <v>325</v>
      </c>
      <c r="I99" s="12" t="s">
        <v>324</v>
      </c>
      <c r="J99" s="12" t="s">
        <v>127</v>
      </c>
      <c r="K99" s="12" t="s">
        <v>326</v>
      </c>
      <c r="L99" s="12" t="s">
        <v>226</v>
      </c>
      <c r="M99" s="12"/>
      <c r="N99" s="12" t="s">
        <v>327</v>
      </c>
      <c r="O99" s="14"/>
      <c r="P99" s="12" t="s">
        <v>445</v>
      </c>
      <c r="Q99" s="12" t="s">
        <v>445</v>
      </c>
      <c r="R99" s="12" t="s">
        <v>904</v>
      </c>
      <c r="S99" s="12" t="s">
        <v>446</v>
      </c>
      <c r="T99" s="15" t="s">
        <v>328</v>
      </c>
      <c r="U99" s="12" t="s">
        <v>22</v>
      </c>
    </row>
    <row r="100" spans="1:21" x14ac:dyDescent="0.3">
      <c r="A100" s="10">
        <v>99</v>
      </c>
      <c r="B100" s="12"/>
      <c r="C100" s="12"/>
      <c r="D100" s="12">
        <v>99</v>
      </c>
      <c r="E100" s="12" t="e">
        <f ca="1">_xlfn.TEXTJOIN(" ",TRUE,"ID:",A100," 48LQFP:",#REF!,"64LQFP:",B100," 100LQFP:",C100," 144LQFP:",D100)</f>
        <v>#NAME?</v>
      </c>
      <c r="F100" s="12" t="s">
        <v>329</v>
      </c>
      <c r="G100" s="12" t="s">
        <v>330</v>
      </c>
      <c r="H100" s="12" t="s">
        <v>330</v>
      </c>
      <c r="I100" s="12" t="s">
        <v>329</v>
      </c>
      <c r="J100" s="14"/>
      <c r="K100" s="12"/>
      <c r="L100" s="12"/>
      <c r="M100" s="12" t="s">
        <v>114</v>
      </c>
      <c r="N100" s="12"/>
      <c r="O100" s="12"/>
      <c r="P100" s="12" t="s">
        <v>445</v>
      </c>
      <c r="Q100" s="12" t="s">
        <v>445</v>
      </c>
      <c r="R100" s="12" t="s">
        <v>904</v>
      </c>
      <c r="S100" s="12" t="s">
        <v>446</v>
      </c>
      <c r="T100" s="10"/>
      <c r="U100" s="12" t="s">
        <v>22</v>
      </c>
    </row>
    <row r="101" spans="1:21" x14ac:dyDescent="0.3">
      <c r="A101" s="10">
        <v>100</v>
      </c>
      <c r="B101" s="12">
        <v>44</v>
      </c>
      <c r="C101" s="12">
        <v>69</v>
      </c>
      <c r="D101" s="12">
        <v>100</v>
      </c>
      <c r="E101" s="12" t="e">
        <f ca="1">_xlfn.TEXTJOIN(" ",TRUE,"ID:",A101," 48LQFP:",#REF!,"64LQFP:",B101," 100LQFP:",C101," 144LQFP:",D101)</f>
        <v>#NAME?</v>
      </c>
      <c r="F101" s="12" t="s">
        <v>331</v>
      </c>
      <c r="G101" s="12" t="s">
        <v>332</v>
      </c>
      <c r="H101" s="12" t="s">
        <v>332</v>
      </c>
      <c r="I101" s="12" t="s">
        <v>331</v>
      </c>
      <c r="J101" s="12" t="s">
        <v>102</v>
      </c>
      <c r="K101" s="12" t="s">
        <v>333</v>
      </c>
      <c r="L101" s="12"/>
      <c r="M101" s="12" t="s">
        <v>116</v>
      </c>
      <c r="N101" s="12" t="s">
        <v>144</v>
      </c>
      <c r="O101" s="12" t="s">
        <v>149</v>
      </c>
      <c r="P101" s="12" t="s">
        <v>445</v>
      </c>
      <c r="Q101" s="12" t="s">
        <v>445</v>
      </c>
      <c r="R101" s="12" t="s">
        <v>904</v>
      </c>
      <c r="S101" s="12" t="s">
        <v>446</v>
      </c>
      <c r="T101" s="10"/>
      <c r="U101" s="12" t="s">
        <v>22</v>
      </c>
    </row>
    <row r="102" spans="1:21" x14ac:dyDescent="0.3">
      <c r="A102" s="10">
        <v>101</v>
      </c>
      <c r="B102" s="12">
        <v>45</v>
      </c>
      <c r="C102" s="12">
        <v>70</v>
      </c>
      <c r="D102" s="12">
        <v>101</v>
      </c>
      <c r="E102" s="12" t="e">
        <f ca="1">_xlfn.TEXTJOIN(" ",TRUE,"ID:",A102," 48LQFP:",#REF!,"64LQFP:",B102," 100LQFP:",C102," 144LQFP:",D102)</f>
        <v>#NAME?</v>
      </c>
      <c r="F102" s="12" t="s">
        <v>334</v>
      </c>
      <c r="G102" s="12" t="s">
        <v>335</v>
      </c>
      <c r="H102" s="12" t="s">
        <v>335</v>
      </c>
      <c r="I102" s="12" t="s">
        <v>334</v>
      </c>
      <c r="J102" s="12" t="s">
        <v>105</v>
      </c>
      <c r="K102" s="12" t="s">
        <v>86</v>
      </c>
      <c r="L102" s="12" t="s">
        <v>156</v>
      </c>
      <c r="M102" s="12" t="s">
        <v>46</v>
      </c>
      <c r="N102" s="12" t="s">
        <v>336</v>
      </c>
      <c r="O102" s="12" t="s">
        <v>337</v>
      </c>
      <c r="P102" s="12" t="s">
        <v>445</v>
      </c>
      <c r="Q102" s="12" t="s">
        <v>445</v>
      </c>
      <c r="R102" s="12" t="s">
        <v>904</v>
      </c>
      <c r="S102" s="12" t="s">
        <v>447</v>
      </c>
      <c r="T102" s="15" t="s">
        <v>338</v>
      </c>
      <c r="U102" s="12" t="s">
        <v>22</v>
      </c>
    </row>
    <row r="103" spans="1:21" x14ac:dyDescent="0.3">
      <c r="A103" s="10">
        <v>102</v>
      </c>
      <c r="B103" s="12">
        <v>46</v>
      </c>
      <c r="C103" s="12">
        <v>71</v>
      </c>
      <c r="D103" s="12">
        <v>102</v>
      </c>
      <c r="E103" s="12" t="e">
        <f ca="1">_xlfn.TEXTJOIN(" ",TRUE,"ID:",A103," 48LQFP:",#REF!,"64LQFP:",B103," 100LQFP:",C103," 144LQFP:",D103)</f>
        <v>#NAME?</v>
      </c>
      <c r="F103" s="12" t="s">
        <v>339</v>
      </c>
      <c r="G103" s="12" t="s">
        <v>340</v>
      </c>
      <c r="H103" s="12" t="s">
        <v>340</v>
      </c>
      <c r="I103" s="12" t="s">
        <v>339</v>
      </c>
      <c r="J103" s="12" t="s">
        <v>240</v>
      </c>
      <c r="K103" s="12" t="s">
        <v>99</v>
      </c>
      <c r="L103" s="12" t="s">
        <v>153</v>
      </c>
      <c r="M103" s="12" t="s">
        <v>39</v>
      </c>
      <c r="N103" s="12" t="s">
        <v>341</v>
      </c>
      <c r="O103" s="14"/>
      <c r="P103" s="12" t="s">
        <v>445</v>
      </c>
      <c r="Q103" s="12" t="s">
        <v>445</v>
      </c>
      <c r="R103" s="12" t="s">
        <v>904</v>
      </c>
      <c r="S103" s="12" t="s">
        <v>446</v>
      </c>
      <c r="T103" s="15" t="s">
        <v>342</v>
      </c>
      <c r="U103" s="12" t="s">
        <v>22</v>
      </c>
    </row>
    <row r="104" spans="1:21" x14ac:dyDescent="0.3">
      <c r="A104" s="10">
        <v>103</v>
      </c>
      <c r="B104" s="12"/>
      <c r="C104" s="12"/>
      <c r="D104" s="12">
        <v>103</v>
      </c>
      <c r="E104" s="12" t="e">
        <f ca="1">_xlfn.TEXTJOIN(" ",TRUE,"ID:",A104," 48LQFP:",#REF!,"64LQFP:",B104," 100LQFP:",C104," 144LQFP:",D104)</f>
        <v>#NAME?</v>
      </c>
      <c r="F104" s="12" t="s">
        <v>343</v>
      </c>
      <c r="G104" s="12" t="s">
        <v>344</v>
      </c>
      <c r="H104" s="12" t="s">
        <v>344</v>
      </c>
      <c r="I104" s="12" t="s">
        <v>343</v>
      </c>
      <c r="J104" s="14"/>
      <c r="K104" s="12" t="s">
        <v>104</v>
      </c>
      <c r="L104" s="12"/>
      <c r="M104" s="12" t="s">
        <v>136</v>
      </c>
      <c r="N104" s="12"/>
      <c r="O104" s="12"/>
      <c r="P104" s="12" t="s">
        <v>445</v>
      </c>
      <c r="Q104" s="12" t="s">
        <v>445</v>
      </c>
      <c r="R104" s="12" t="s">
        <v>904</v>
      </c>
      <c r="S104" s="12" t="s">
        <v>446</v>
      </c>
      <c r="T104" s="10"/>
      <c r="U104" s="12" t="s">
        <v>22</v>
      </c>
    </row>
    <row r="105" spans="1:21" x14ac:dyDescent="0.3">
      <c r="A105" s="10">
        <v>104</v>
      </c>
      <c r="B105" s="12">
        <v>47</v>
      </c>
      <c r="C105" s="12">
        <v>72</v>
      </c>
      <c r="D105" s="12">
        <v>104</v>
      </c>
      <c r="E105" s="12" t="e">
        <f ca="1">_xlfn.TEXTJOIN(" ",TRUE,"ID:",A105," 48LQFP:",#REF!,"64LQFP:",B105," 100LQFP:",C105," 144LQFP:",D105)</f>
        <v>#NAME?</v>
      </c>
      <c r="F105" s="12" t="s">
        <v>345</v>
      </c>
      <c r="G105" s="12" t="s">
        <v>346</v>
      </c>
      <c r="H105" s="12" t="s">
        <v>346</v>
      </c>
      <c r="I105" s="12" t="s">
        <v>345</v>
      </c>
      <c r="J105" s="12" t="s">
        <v>347</v>
      </c>
      <c r="K105" s="12" t="s">
        <v>77</v>
      </c>
      <c r="L105" s="12" t="s">
        <v>59</v>
      </c>
      <c r="M105" s="12"/>
      <c r="N105" s="12" t="s">
        <v>100</v>
      </c>
      <c r="O105" s="12" t="s">
        <v>31</v>
      </c>
      <c r="P105" s="12" t="s">
        <v>445</v>
      </c>
      <c r="Q105" s="12" t="s">
        <v>445</v>
      </c>
      <c r="R105" s="12" t="s">
        <v>904</v>
      </c>
      <c r="S105" s="12" t="s">
        <v>446</v>
      </c>
      <c r="T105" s="15" t="s">
        <v>348</v>
      </c>
      <c r="U105" s="12" t="s">
        <v>22</v>
      </c>
    </row>
    <row r="106" spans="1:21" x14ac:dyDescent="0.3">
      <c r="A106" s="10">
        <v>105</v>
      </c>
      <c r="B106" s="12">
        <v>48</v>
      </c>
      <c r="C106" s="12">
        <v>73</v>
      </c>
      <c r="D106" s="12">
        <v>105</v>
      </c>
      <c r="E106" s="12" t="e">
        <f ca="1">_xlfn.TEXTJOIN(" ",TRUE,"ID:",A106," 48LQFP:",#REF!,"64LQFP:",B106," 100LQFP:",C106," 144LQFP:",D106)</f>
        <v>#NAME?</v>
      </c>
      <c r="F106" s="12" t="s">
        <v>349</v>
      </c>
      <c r="G106" s="12" t="s">
        <v>350</v>
      </c>
      <c r="H106" s="12" t="s">
        <v>350</v>
      </c>
      <c r="I106" s="12" t="s">
        <v>349</v>
      </c>
      <c r="J106" s="12" t="s">
        <v>276</v>
      </c>
      <c r="K106" s="12" t="s">
        <v>82</v>
      </c>
      <c r="L106" s="12" t="s">
        <v>66</v>
      </c>
      <c r="M106" s="12"/>
      <c r="N106" s="12" t="s">
        <v>109</v>
      </c>
      <c r="O106" s="12" t="s">
        <v>93</v>
      </c>
      <c r="P106" s="12" t="s">
        <v>445</v>
      </c>
      <c r="Q106" s="12" t="s">
        <v>445</v>
      </c>
      <c r="R106" s="12" t="s">
        <v>904</v>
      </c>
      <c r="S106" s="12" t="s">
        <v>446</v>
      </c>
      <c r="T106" s="15" t="s">
        <v>351</v>
      </c>
      <c r="U106" s="12" t="s">
        <v>22</v>
      </c>
    </row>
    <row r="107" spans="1:21" x14ac:dyDescent="0.3">
      <c r="A107" s="10">
        <v>106</v>
      </c>
      <c r="B107" s="12"/>
      <c r="C107" s="12"/>
      <c r="D107" s="12">
        <v>106</v>
      </c>
      <c r="E107" s="12" t="e">
        <f ca="1">_xlfn.TEXTJOIN(" ",TRUE,"ID:",A107," 48LQFP:",#REF!,"64LQFP:",B107," 100LQFP:",C107," 144LQFP:",D107)</f>
        <v>#NAME?</v>
      </c>
      <c r="F107" s="12" t="s">
        <v>352</v>
      </c>
      <c r="G107" s="12" t="s">
        <v>353</v>
      </c>
      <c r="H107" s="12" t="s">
        <v>353</v>
      </c>
      <c r="I107" s="12" t="s">
        <v>352</v>
      </c>
      <c r="J107" s="10"/>
      <c r="K107" s="12"/>
      <c r="L107" s="12"/>
      <c r="M107" s="12"/>
      <c r="N107" s="12"/>
      <c r="O107" s="12"/>
      <c r="P107" s="12" t="s">
        <v>445</v>
      </c>
      <c r="Q107" s="12" t="s">
        <v>445</v>
      </c>
      <c r="R107" s="12" t="s">
        <v>904</v>
      </c>
      <c r="S107" s="12" t="s">
        <v>446</v>
      </c>
      <c r="T107" s="10"/>
      <c r="U107" s="12" t="s">
        <v>22</v>
      </c>
    </row>
    <row r="108" spans="1:21" x14ac:dyDescent="0.3">
      <c r="A108" s="10">
        <v>107</v>
      </c>
      <c r="B108" s="12"/>
      <c r="C108" s="12">
        <v>74</v>
      </c>
      <c r="D108" s="12">
        <v>107</v>
      </c>
      <c r="E108" s="12" t="e">
        <f ca="1">_xlfn.TEXTJOIN(" ",TRUE,"ID:",A108," 48LQFP:",#REF!,"64LQFP:",B108," 100LQFP:",C108," 144LQFP:",D108)</f>
        <v>#NAME?</v>
      </c>
      <c r="F108" s="12" t="s">
        <v>354</v>
      </c>
      <c r="G108" s="14"/>
      <c r="H108" s="14"/>
      <c r="I108" s="12" t="s">
        <v>354</v>
      </c>
      <c r="J108" s="12" t="s">
        <v>265</v>
      </c>
      <c r="K108" s="12" t="s">
        <v>204</v>
      </c>
      <c r="L108" s="12"/>
      <c r="M108" s="12"/>
      <c r="N108" s="12"/>
      <c r="O108" s="12" t="s">
        <v>183</v>
      </c>
      <c r="P108" s="12" t="s">
        <v>445</v>
      </c>
      <c r="Q108" s="12" t="s">
        <v>445</v>
      </c>
      <c r="R108" s="12" t="s">
        <v>904</v>
      </c>
      <c r="S108" s="12" t="s">
        <v>446</v>
      </c>
      <c r="T108" s="10"/>
      <c r="U108" s="12" t="s">
        <v>22</v>
      </c>
    </row>
    <row r="109" spans="1:21" x14ac:dyDescent="0.3">
      <c r="A109" s="10">
        <v>108</v>
      </c>
      <c r="B109" s="12"/>
      <c r="C109" s="12">
        <v>75</v>
      </c>
      <c r="D109" s="12">
        <v>108</v>
      </c>
      <c r="E109" s="12" t="e">
        <f ca="1">_xlfn.TEXTJOIN(" ",TRUE,"ID:",A109," 48LQFP:",#REF!,"64LQFP:",B109," 100LQFP:",C109," 144LQFP:",D109)</f>
        <v>#NAME?</v>
      </c>
      <c r="F109" s="12" t="s">
        <v>355</v>
      </c>
      <c r="G109" s="14"/>
      <c r="H109" s="14"/>
      <c r="I109" s="12" t="s">
        <v>355</v>
      </c>
      <c r="J109" s="12" t="s">
        <v>268</v>
      </c>
      <c r="K109" s="12" t="s">
        <v>210</v>
      </c>
      <c r="L109" s="14"/>
      <c r="M109" s="14"/>
      <c r="N109" s="12" t="s">
        <v>82</v>
      </c>
      <c r="O109" s="12" t="s">
        <v>178</v>
      </c>
      <c r="P109" s="12" t="s">
        <v>445</v>
      </c>
      <c r="Q109" s="12" t="s">
        <v>445</v>
      </c>
      <c r="R109" s="12" t="s">
        <v>904</v>
      </c>
      <c r="S109" s="12" t="s">
        <v>446</v>
      </c>
      <c r="T109" s="10"/>
      <c r="U109" s="12" t="s">
        <v>22</v>
      </c>
    </row>
    <row r="110" spans="1:21" x14ac:dyDescent="0.3">
      <c r="A110" s="10">
        <v>109</v>
      </c>
      <c r="B110" s="12"/>
      <c r="C110" s="12">
        <v>76</v>
      </c>
      <c r="D110" s="12">
        <v>109</v>
      </c>
      <c r="E110" s="12" t="e">
        <f ca="1">_xlfn.TEXTJOIN(" ",TRUE,"ID:",A110," 48LQFP:",#REF!,"64LQFP:",B110," 100LQFP:",C110," 144LQFP:",D110)</f>
        <v>#NAME?</v>
      </c>
      <c r="F110" s="12" t="s">
        <v>356</v>
      </c>
      <c r="G110" s="14"/>
      <c r="H110" s="14"/>
      <c r="I110" s="12" t="s">
        <v>356</v>
      </c>
      <c r="J110" s="12" t="s">
        <v>347</v>
      </c>
      <c r="K110" s="12"/>
      <c r="L110" s="14"/>
      <c r="M110" s="14"/>
      <c r="N110" s="12" t="s">
        <v>77</v>
      </c>
      <c r="O110" s="12" t="s">
        <v>187</v>
      </c>
      <c r="P110" s="12" t="s">
        <v>445</v>
      </c>
      <c r="Q110" s="12" t="s">
        <v>445</v>
      </c>
      <c r="R110" s="12" t="s">
        <v>904</v>
      </c>
      <c r="S110" s="12" t="s">
        <v>446</v>
      </c>
      <c r="T110" s="10"/>
      <c r="U110" s="12" t="s">
        <v>22</v>
      </c>
    </row>
    <row r="111" spans="1:21" x14ac:dyDescent="0.3">
      <c r="A111" s="10">
        <v>110</v>
      </c>
      <c r="B111" s="12"/>
      <c r="C111" s="12"/>
      <c r="D111" s="12">
        <v>110</v>
      </c>
      <c r="E111" s="12" t="e">
        <f ca="1">_xlfn.TEXTJOIN(" ",TRUE,"ID:",A111," 48LQFP:",#REF!,"64LQFP:",B111," 100LQFP:",C111," 144LQFP:",D111)</f>
        <v>#NAME?</v>
      </c>
      <c r="F111" s="12" t="s">
        <v>357</v>
      </c>
      <c r="G111" s="12" t="s">
        <v>358</v>
      </c>
      <c r="H111" s="12" t="s">
        <v>358</v>
      </c>
      <c r="I111" s="12" t="s">
        <v>357</v>
      </c>
      <c r="J111" s="14"/>
      <c r="K111" s="12"/>
      <c r="L111" s="12"/>
      <c r="M111" s="12"/>
      <c r="N111" s="14"/>
      <c r="O111" s="12"/>
      <c r="P111" s="12" t="s">
        <v>445</v>
      </c>
      <c r="Q111" s="12" t="s">
        <v>445</v>
      </c>
      <c r="R111" s="12" t="s">
        <v>904</v>
      </c>
      <c r="S111" s="12" t="s">
        <v>446</v>
      </c>
      <c r="T111" s="10"/>
      <c r="U111" s="12" t="s">
        <v>22</v>
      </c>
    </row>
    <row r="112" spans="1:21" x14ac:dyDescent="0.3">
      <c r="A112" s="10">
        <v>111</v>
      </c>
      <c r="B112" s="12"/>
      <c r="C112" s="12">
        <v>77</v>
      </c>
      <c r="D112" s="12">
        <v>111</v>
      </c>
      <c r="E112" s="12" t="e">
        <f ca="1">_xlfn.TEXTJOIN(" ",TRUE,"ID:",A112," 48LQFP:",#REF!,"64LQFP:",B112," 100LQFP:",C112," 144LQFP:",D112)</f>
        <v>#NAME?</v>
      </c>
      <c r="F112" s="12" t="s">
        <v>359</v>
      </c>
      <c r="G112" s="14"/>
      <c r="H112" s="14"/>
      <c r="I112" s="12" t="s">
        <v>359</v>
      </c>
      <c r="J112" s="12" t="s">
        <v>276</v>
      </c>
      <c r="K112" s="12"/>
      <c r="L112" s="14"/>
      <c r="M112" s="12"/>
      <c r="N112" s="12" t="s">
        <v>360</v>
      </c>
      <c r="O112" s="12" t="s">
        <v>174</v>
      </c>
      <c r="P112" s="12" t="s">
        <v>445</v>
      </c>
      <c r="Q112" s="12" t="s">
        <v>445</v>
      </c>
      <c r="R112" s="12" t="s">
        <v>904</v>
      </c>
      <c r="S112" s="12" t="s">
        <v>446</v>
      </c>
      <c r="T112" s="10"/>
      <c r="U112" s="12" t="s">
        <v>22</v>
      </c>
    </row>
    <row r="113" spans="1:21" x14ac:dyDescent="0.3">
      <c r="A113" s="10">
        <v>112</v>
      </c>
      <c r="B113" s="12"/>
      <c r="C113" s="12"/>
      <c r="D113" s="12">
        <v>112</v>
      </c>
      <c r="E113" s="12" t="e">
        <f ca="1">_xlfn.TEXTJOIN(" ",TRUE,"ID:",A113," 48LQFP:",#REF!,"64LQFP:",B113," 100LQFP:",C113," 144LQFP:",D113)</f>
        <v>#NAME?</v>
      </c>
      <c r="F113" s="12" t="s">
        <v>361</v>
      </c>
      <c r="G113" s="12" t="s">
        <v>362</v>
      </c>
      <c r="H113" s="12" t="s">
        <v>362</v>
      </c>
      <c r="I113" s="12" t="s">
        <v>361</v>
      </c>
      <c r="J113" s="14"/>
      <c r="K113" s="12"/>
      <c r="L113" s="12"/>
      <c r="M113" s="12"/>
      <c r="N113" s="14"/>
      <c r="O113" s="12"/>
      <c r="P113" s="12" t="s">
        <v>445</v>
      </c>
      <c r="Q113" s="12" t="s">
        <v>445</v>
      </c>
      <c r="R113" s="12" t="s">
        <v>904</v>
      </c>
      <c r="S113" s="12" t="s">
        <v>446</v>
      </c>
      <c r="T113" s="10"/>
      <c r="U113" s="12" t="s">
        <v>22</v>
      </c>
    </row>
    <row r="114" spans="1:21" x14ac:dyDescent="0.3">
      <c r="A114" s="10">
        <v>113</v>
      </c>
      <c r="B114" s="12">
        <v>49</v>
      </c>
      <c r="C114" s="12">
        <v>78</v>
      </c>
      <c r="D114" s="12">
        <v>113</v>
      </c>
      <c r="E114" s="12" t="e">
        <f ca="1">_xlfn.TEXTJOIN(" ",TRUE,"ID:",A114," 48LQFP:",#REF!,"64LQFP:",B114," 100LQFP:",C114," 144LQFP:",D114)</f>
        <v>#NAME?</v>
      </c>
      <c r="F114" s="12" t="s">
        <v>363</v>
      </c>
      <c r="G114" s="12" t="s">
        <v>364</v>
      </c>
      <c r="H114" s="12" t="s">
        <v>364</v>
      </c>
      <c r="I114" s="12" t="s">
        <v>363</v>
      </c>
      <c r="J114" s="12" t="s">
        <v>246</v>
      </c>
      <c r="K114" s="12" t="s">
        <v>365</v>
      </c>
      <c r="L114" s="12" t="s">
        <v>82</v>
      </c>
      <c r="M114" s="12" t="s">
        <v>247</v>
      </c>
      <c r="N114" s="12" t="s">
        <v>366</v>
      </c>
      <c r="O114" s="12" t="s">
        <v>367</v>
      </c>
      <c r="P114" s="12" t="s">
        <v>445</v>
      </c>
      <c r="Q114" s="12" t="s">
        <v>445</v>
      </c>
      <c r="R114" s="12" t="s">
        <v>904</v>
      </c>
      <c r="S114" s="12" t="s">
        <v>446</v>
      </c>
      <c r="T114" s="17"/>
      <c r="U114" s="12" t="s">
        <v>22</v>
      </c>
    </row>
    <row r="115" spans="1:21" x14ac:dyDescent="0.3">
      <c r="A115" s="10">
        <v>114</v>
      </c>
      <c r="B115" s="12"/>
      <c r="C115" s="12"/>
      <c r="D115" s="12">
        <v>114</v>
      </c>
      <c r="E115" s="12" t="e">
        <f ca="1">_xlfn.TEXTJOIN(" ",TRUE,"ID:",A115," 48LQFP:",#REF!,"64LQFP:",B115," 100LQFP:",C115," 144LQFP:",D115)</f>
        <v>#NAME?</v>
      </c>
      <c r="F115" s="12" t="s">
        <v>368</v>
      </c>
      <c r="G115" s="12" t="s">
        <v>369</v>
      </c>
      <c r="H115" s="12" t="s">
        <v>369</v>
      </c>
      <c r="I115" s="12" t="s">
        <v>368</v>
      </c>
      <c r="J115" s="12"/>
      <c r="K115" s="12"/>
      <c r="L115" s="12"/>
      <c r="M115" s="12" t="s">
        <v>190</v>
      </c>
      <c r="N115" s="14"/>
      <c r="O115" s="12"/>
      <c r="P115" s="12" t="s">
        <v>445</v>
      </c>
      <c r="Q115" s="12" t="s">
        <v>445</v>
      </c>
      <c r="R115" s="12" t="s">
        <v>904</v>
      </c>
      <c r="S115" s="12" t="s">
        <v>446</v>
      </c>
      <c r="T115" s="10"/>
      <c r="U115" s="12" t="s">
        <v>22</v>
      </c>
    </row>
    <row r="116" spans="1:21" x14ac:dyDescent="0.3">
      <c r="A116" s="10">
        <v>115</v>
      </c>
      <c r="B116" s="12">
        <v>50</v>
      </c>
      <c r="C116" s="12">
        <v>79</v>
      </c>
      <c r="D116" s="12">
        <v>115</v>
      </c>
      <c r="E116" s="12" t="e">
        <f ca="1">_xlfn.TEXTJOIN(" ",TRUE,"ID:",A116," 48LQFP:",#REF!,"64LQFP:",B116," 100LQFP:",C116," 144LQFP:",D116)</f>
        <v>#NAME?</v>
      </c>
      <c r="F116" s="12" t="s">
        <v>370</v>
      </c>
      <c r="G116" s="12" t="s">
        <v>371</v>
      </c>
      <c r="H116" s="12" t="s">
        <v>371</v>
      </c>
      <c r="I116" s="12" t="s">
        <v>370</v>
      </c>
      <c r="J116" s="12" t="s">
        <v>196</v>
      </c>
      <c r="K116" s="12" t="s">
        <v>372</v>
      </c>
      <c r="L116" s="12" t="s">
        <v>77</v>
      </c>
      <c r="M116" s="12" t="s">
        <v>56</v>
      </c>
      <c r="N116" s="12" t="s">
        <v>373</v>
      </c>
      <c r="O116" s="12" t="s">
        <v>374</v>
      </c>
      <c r="P116" s="12" t="s">
        <v>445</v>
      </c>
      <c r="Q116" s="12" t="s">
        <v>445</v>
      </c>
      <c r="R116" s="12" t="s">
        <v>904</v>
      </c>
      <c r="S116" s="12" t="s">
        <v>446</v>
      </c>
      <c r="T116" s="10"/>
      <c r="U116" s="12" t="s">
        <v>22</v>
      </c>
    </row>
    <row r="117" spans="1:21" x14ac:dyDescent="0.3">
      <c r="A117" s="10">
        <v>116</v>
      </c>
      <c r="B117" s="12"/>
      <c r="C117" s="12"/>
      <c r="D117" s="12">
        <v>116</v>
      </c>
      <c r="E117" s="12" t="e">
        <f ca="1">_xlfn.TEXTJOIN(" ",TRUE,"ID:",A117," 48LQFP:",#REF!,"64LQFP:",B117," 100LQFP:",C117," 144LQFP:",D117)</f>
        <v>#NAME?</v>
      </c>
      <c r="F117" s="12" t="s">
        <v>375</v>
      </c>
      <c r="G117" s="12"/>
      <c r="H117" s="12"/>
      <c r="I117" s="12" t="s">
        <v>375</v>
      </c>
      <c r="J117" s="12"/>
      <c r="K117" s="12"/>
      <c r="L117" s="12"/>
      <c r="M117" s="12"/>
      <c r="N117" s="14"/>
      <c r="O117" s="12"/>
      <c r="P117" s="12" t="s">
        <v>445</v>
      </c>
      <c r="Q117" s="12" t="s">
        <v>445</v>
      </c>
      <c r="R117" s="12" t="s">
        <v>904</v>
      </c>
      <c r="S117" s="12" t="s">
        <v>446</v>
      </c>
      <c r="T117" s="10"/>
      <c r="U117" s="12" t="s">
        <v>22</v>
      </c>
    </row>
    <row r="118" spans="1:21" x14ac:dyDescent="0.3">
      <c r="A118" s="10">
        <v>117</v>
      </c>
      <c r="B118" s="12">
        <v>51</v>
      </c>
      <c r="C118" s="12">
        <v>80</v>
      </c>
      <c r="D118" s="12">
        <v>117</v>
      </c>
      <c r="E118" s="12" t="e">
        <f ca="1">_xlfn.TEXTJOIN(" ",TRUE,"ID:",A118," 48LQFP:",#REF!,"64LQFP:",B118," 100LQFP:",C118," 144LQFP:",D118)</f>
        <v>#NAME?</v>
      </c>
      <c r="F118" s="12" t="s">
        <v>376</v>
      </c>
      <c r="G118" s="12" t="s">
        <v>377</v>
      </c>
      <c r="H118" s="12" t="s">
        <v>377</v>
      </c>
      <c r="I118" s="12" t="s">
        <v>376</v>
      </c>
      <c r="J118" s="12" t="s">
        <v>140</v>
      </c>
      <c r="K118" s="12" t="s">
        <v>378</v>
      </c>
      <c r="L118" s="12" t="s">
        <v>265</v>
      </c>
      <c r="M118" s="12" t="s">
        <v>264</v>
      </c>
      <c r="N118" s="12" t="s">
        <v>247</v>
      </c>
      <c r="O118" s="10"/>
      <c r="P118" s="12" t="s">
        <v>445</v>
      </c>
      <c r="Q118" s="12" t="s">
        <v>445</v>
      </c>
      <c r="R118" s="12" t="s">
        <v>904</v>
      </c>
      <c r="S118" s="12" t="s">
        <v>446</v>
      </c>
      <c r="T118" s="15" t="s">
        <v>379</v>
      </c>
      <c r="U118" s="12" t="s">
        <v>22</v>
      </c>
    </row>
    <row r="119" spans="1:21" x14ac:dyDescent="0.3">
      <c r="A119" s="10">
        <v>118</v>
      </c>
      <c r="B119" s="12">
        <v>52</v>
      </c>
      <c r="C119" s="12">
        <v>81</v>
      </c>
      <c r="D119" s="12">
        <v>118</v>
      </c>
      <c r="E119" s="12" t="e">
        <f ca="1">_xlfn.TEXTJOIN(" ",TRUE,"ID:",A119," 48LQFP:",#REF!,"64LQFP:",B119," 100LQFP:",C119," 144LQFP:",D119)</f>
        <v>#NAME?</v>
      </c>
      <c r="F119" s="12" t="s">
        <v>380</v>
      </c>
      <c r="G119" s="12" t="s">
        <v>381</v>
      </c>
      <c r="H119" s="12" t="s">
        <v>381</v>
      </c>
      <c r="I119" s="12" t="s">
        <v>380</v>
      </c>
      <c r="J119" s="12" t="s">
        <v>143</v>
      </c>
      <c r="K119" s="12" t="s">
        <v>382</v>
      </c>
      <c r="L119" s="12" t="s">
        <v>268</v>
      </c>
      <c r="M119" s="12" t="s">
        <v>267</v>
      </c>
      <c r="N119" s="12" t="s">
        <v>258</v>
      </c>
      <c r="O119" s="14"/>
      <c r="P119" s="12" t="s">
        <v>445</v>
      </c>
      <c r="Q119" s="12" t="s">
        <v>445</v>
      </c>
      <c r="R119" s="12" t="s">
        <v>904</v>
      </c>
      <c r="S119" s="12" t="s">
        <v>446</v>
      </c>
      <c r="T119" s="15" t="s">
        <v>383</v>
      </c>
      <c r="U119" s="12" t="s">
        <v>22</v>
      </c>
    </row>
    <row r="120" spans="1:21" x14ac:dyDescent="0.3">
      <c r="A120" s="10">
        <v>119</v>
      </c>
      <c r="B120" s="12"/>
      <c r="C120" s="12">
        <v>82</v>
      </c>
      <c r="D120" s="12">
        <v>119</v>
      </c>
      <c r="E120" s="12" t="e">
        <f ca="1">_xlfn.TEXTJOIN(" ",TRUE,"ID:",A120," 48LQFP:",#REF!,"64LQFP:",B120," 100LQFP:",C120," 144LQFP:",D120)</f>
        <v>#NAME?</v>
      </c>
      <c r="F120" s="12" t="s">
        <v>384</v>
      </c>
      <c r="G120" s="12" t="s">
        <v>385</v>
      </c>
      <c r="H120" s="12" t="s">
        <v>385</v>
      </c>
      <c r="I120" s="12" t="s">
        <v>384</v>
      </c>
      <c r="J120" s="12" t="s">
        <v>231</v>
      </c>
      <c r="K120" s="12" t="s">
        <v>386</v>
      </c>
      <c r="L120" s="12" t="s">
        <v>387</v>
      </c>
      <c r="M120" s="14"/>
      <c r="N120" s="14"/>
      <c r="O120" s="14"/>
      <c r="P120" s="12" t="s">
        <v>445</v>
      </c>
      <c r="Q120" s="12" t="s">
        <v>445</v>
      </c>
      <c r="R120" s="12" t="s">
        <v>904</v>
      </c>
      <c r="S120" s="12" t="s">
        <v>446</v>
      </c>
      <c r="T120" s="17"/>
      <c r="U120" s="12" t="s">
        <v>22</v>
      </c>
    </row>
    <row r="121" spans="1:21" x14ac:dyDescent="0.3">
      <c r="A121" s="10">
        <v>120</v>
      </c>
      <c r="B121" s="12"/>
      <c r="C121" s="12">
        <v>83</v>
      </c>
      <c r="D121" s="12">
        <v>120</v>
      </c>
      <c r="E121" s="12" t="e">
        <f ca="1">_xlfn.TEXTJOIN(" ",TRUE,"ID:",A121," 48LQFP:",#REF!,"64LQFP:",B121," 100LQFP:",C121," 144LQFP:",D121)</f>
        <v>#NAME?</v>
      </c>
      <c r="F121" s="12" t="s">
        <v>388</v>
      </c>
      <c r="G121" s="12" t="s">
        <v>389</v>
      </c>
      <c r="H121" s="12" t="s">
        <v>389</v>
      </c>
      <c r="I121" s="12" t="s">
        <v>388</v>
      </c>
      <c r="J121" s="12" t="s">
        <v>238</v>
      </c>
      <c r="K121" s="12" t="s">
        <v>390</v>
      </c>
      <c r="L121" s="12" t="s">
        <v>391</v>
      </c>
      <c r="M121" s="14"/>
      <c r="N121" s="14"/>
      <c r="O121" s="14"/>
      <c r="P121" s="12" t="s">
        <v>445</v>
      </c>
      <c r="Q121" s="12" t="s">
        <v>445</v>
      </c>
      <c r="R121" s="12" t="s">
        <v>904</v>
      </c>
      <c r="S121" s="12" t="s">
        <v>446</v>
      </c>
      <c r="T121" s="10"/>
      <c r="U121" s="12" t="s">
        <v>22</v>
      </c>
    </row>
    <row r="122" spans="1:21" x14ac:dyDescent="0.3">
      <c r="A122" s="10">
        <v>121</v>
      </c>
      <c r="B122" s="12">
        <v>53</v>
      </c>
      <c r="C122" s="12">
        <v>84</v>
      </c>
      <c r="D122" s="12">
        <v>121</v>
      </c>
      <c r="E122" s="12" t="e">
        <f ca="1">_xlfn.TEXTJOIN(" ",TRUE,"ID:",A122," 48LQFP:",#REF!,"64LQFP:",B122," 100LQFP:",C122," 144LQFP:",D122)</f>
        <v>#NAME?</v>
      </c>
      <c r="F122" s="12" t="s">
        <v>392</v>
      </c>
      <c r="G122" s="12" t="s">
        <v>393</v>
      </c>
      <c r="H122" s="12" t="s">
        <v>393</v>
      </c>
      <c r="I122" s="12" t="s">
        <v>392</v>
      </c>
      <c r="J122" s="12" t="s">
        <v>394</v>
      </c>
      <c r="K122" s="14"/>
      <c r="L122" s="12" t="s">
        <v>264</v>
      </c>
      <c r="M122" s="12" t="s">
        <v>18</v>
      </c>
      <c r="N122" s="12" t="s">
        <v>123</v>
      </c>
      <c r="O122" s="12" t="s">
        <v>124</v>
      </c>
      <c r="P122" s="12" t="s">
        <v>445</v>
      </c>
      <c r="Q122" s="12" t="s">
        <v>445</v>
      </c>
      <c r="R122" s="12" t="s">
        <v>904</v>
      </c>
      <c r="S122" s="12" t="s">
        <v>446</v>
      </c>
      <c r="T122" s="15" t="s">
        <v>395</v>
      </c>
      <c r="U122" s="12" t="s">
        <v>22</v>
      </c>
    </row>
    <row r="123" spans="1:21" x14ac:dyDescent="0.3">
      <c r="A123" s="10">
        <v>122</v>
      </c>
      <c r="B123" s="12">
        <v>54</v>
      </c>
      <c r="C123" s="12">
        <v>85</v>
      </c>
      <c r="D123" s="12">
        <v>122</v>
      </c>
      <c r="E123" s="12" t="e">
        <f ca="1">_xlfn.TEXTJOIN(" ",TRUE,"ID:",A123," 48LQFP:",#REF!,"64LQFP:",B123," 100LQFP:",C123," 144LQFP:",D123)</f>
        <v>#NAME?</v>
      </c>
      <c r="F123" s="12" t="s">
        <v>396</v>
      </c>
      <c r="G123" s="12" t="s">
        <v>397</v>
      </c>
      <c r="H123" s="12" t="s">
        <v>397</v>
      </c>
      <c r="I123" s="12" t="s">
        <v>396</v>
      </c>
      <c r="J123" s="12" t="s">
        <v>117</v>
      </c>
      <c r="K123" s="12" t="s">
        <v>284</v>
      </c>
      <c r="L123" s="12" t="s">
        <v>267</v>
      </c>
      <c r="M123" s="12" t="s">
        <v>24</v>
      </c>
      <c r="N123" s="14"/>
      <c r="O123" s="12" t="s">
        <v>129</v>
      </c>
      <c r="P123" s="12" t="s">
        <v>445</v>
      </c>
      <c r="Q123" s="12" t="s">
        <v>445</v>
      </c>
      <c r="R123" s="12" t="s">
        <v>904</v>
      </c>
      <c r="S123" s="12" t="s">
        <v>446</v>
      </c>
      <c r="T123" s="15" t="s">
        <v>398</v>
      </c>
      <c r="U123" s="12" t="s">
        <v>22</v>
      </c>
    </row>
    <row r="124" spans="1:21" x14ac:dyDescent="0.3">
      <c r="A124" s="10">
        <v>123</v>
      </c>
      <c r="B124" s="12"/>
      <c r="C124" s="12">
        <v>86</v>
      </c>
      <c r="D124" s="12">
        <v>123</v>
      </c>
      <c r="E124" s="12" t="e">
        <f ca="1">_xlfn.TEXTJOIN(" ",TRUE,"ID:",A124," 48LQFP:",#REF!,"64LQFP:",B124," 100LQFP:",C124," 144LQFP:",D124)</f>
        <v>#NAME?</v>
      </c>
      <c r="F124" s="12" t="s">
        <v>71</v>
      </c>
      <c r="G124" s="12" t="s">
        <v>71</v>
      </c>
      <c r="H124" s="12" t="s">
        <v>71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0"/>
      <c r="U124" s="12" t="s">
        <v>71</v>
      </c>
    </row>
    <row r="125" spans="1:21" x14ac:dyDescent="0.3">
      <c r="A125" s="10">
        <v>124</v>
      </c>
      <c r="B125" s="12"/>
      <c r="C125" s="12">
        <v>87</v>
      </c>
      <c r="D125" s="12">
        <v>124</v>
      </c>
      <c r="E125" s="12" t="e">
        <f ca="1">_xlfn.TEXTJOIN(" ",TRUE,"ID:",A125," 48LQFP:",#REF!,"64LQFP:",B125," 100LQFP:",C125," 144LQFP:",D125)</f>
        <v>#NAME?</v>
      </c>
      <c r="F125" s="12" t="s">
        <v>70</v>
      </c>
      <c r="G125" s="12" t="s">
        <v>70</v>
      </c>
      <c r="H125" s="12" t="s">
        <v>70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0"/>
      <c r="U125" s="12" t="s">
        <v>70</v>
      </c>
    </row>
    <row r="126" spans="1:21" x14ac:dyDescent="0.3">
      <c r="A126" s="10">
        <v>125</v>
      </c>
      <c r="B126" s="12"/>
      <c r="C126" s="12"/>
      <c r="D126" s="12">
        <v>125</v>
      </c>
      <c r="E126" s="12" t="e">
        <f ca="1">_xlfn.TEXTJOIN(" ",TRUE,"ID:",A126," 48LQFP:",#REF!,"64LQFP:",B126," 100LQFP:",C126," 144LQFP:",D126)</f>
        <v>#NAME?</v>
      </c>
      <c r="F126" s="12" t="s">
        <v>399</v>
      </c>
      <c r="G126" s="12"/>
      <c r="H126" s="12"/>
      <c r="I126" s="12" t="s">
        <v>399</v>
      </c>
      <c r="J126" s="12" t="s">
        <v>26</v>
      </c>
      <c r="K126" s="12"/>
      <c r="L126" s="12" t="s">
        <v>400</v>
      </c>
      <c r="M126" s="12" t="s">
        <v>128</v>
      </c>
      <c r="N126" s="12"/>
      <c r="O126" s="14"/>
      <c r="P126" s="12" t="s">
        <v>445</v>
      </c>
      <c r="Q126" s="12" t="s">
        <v>445</v>
      </c>
      <c r="R126" s="12" t="s">
        <v>904</v>
      </c>
      <c r="S126" s="12" t="s">
        <v>446</v>
      </c>
      <c r="T126" s="10"/>
      <c r="U126" s="12" t="s">
        <v>22</v>
      </c>
    </row>
    <row r="127" spans="1:21" s="7" customFormat="1" x14ac:dyDescent="0.3">
      <c r="A127" s="10">
        <v>126</v>
      </c>
      <c r="B127" s="12"/>
      <c r="C127" s="12"/>
      <c r="D127" s="12">
        <v>126</v>
      </c>
      <c r="E127" s="12" t="e">
        <f ca="1">_xlfn.TEXTJOIN(" ",TRUE,"ID:",A127," 48LQFP:",#REF!,"64LQFP:",B127," 100LQFP:",C127," 144LQFP:",D127)</f>
        <v>#NAME?</v>
      </c>
      <c r="F127" s="12" t="s">
        <v>401</v>
      </c>
      <c r="G127" s="12"/>
      <c r="H127" s="12"/>
      <c r="I127" s="12" t="s">
        <v>401</v>
      </c>
      <c r="J127" s="12" t="s">
        <v>251</v>
      </c>
      <c r="K127" s="12" t="s">
        <v>276</v>
      </c>
      <c r="L127" s="12" t="s">
        <v>312</v>
      </c>
      <c r="M127" s="12" t="s">
        <v>121</v>
      </c>
      <c r="N127" s="12"/>
      <c r="O127" s="14"/>
      <c r="P127" s="12" t="s">
        <v>445</v>
      </c>
      <c r="Q127" s="12" t="s">
        <v>445</v>
      </c>
      <c r="R127" s="12" t="s">
        <v>904</v>
      </c>
      <c r="S127" s="12" t="s">
        <v>446</v>
      </c>
      <c r="T127" s="10"/>
      <c r="U127" s="12" t="s">
        <v>22</v>
      </c>
    </row>
    <row r="128" spans="1:21" s="7" customFormat="1" x14ac:dyDescent="0.3">
      <c r="A128" s="10">
        <v>127</v>
      </c>
      <c r="B128" s="12"/>
      <c r="C128" s="12">
        <v>88</v>
      </c>
      <c r="D128" s="12">
        <v>127</v>
      </c>
      <c r="E128" s="12" t="e">
        <f ca="1">_xlfn.TEXTJOIN(" ",TRUE,"ID:",A128," 48LQFP:",#REF!,"64LQFP:",B128," 100LQFP:",C128," 144LQFP:",D128)</f>
        <v>#NAME?</v>
      </c>
      <c r="F128" s="12" t="s">
        <v>402</v>
      </c>
      <c r="G128" s="14"/>
      <c r="H128" s="14"/>
      <c r="I128" s="12" t="s">
        <v>402</v>
      </c>
      <c r="J128" s="12" t="s">
        <v>92</v>
      </c>
      <c r="K128" s="12" t="s">
        <v>321</v>
      </c>
      <c r="L128" s="12" t="s">
        <v>59</v>
      </c>
      <c r="M128" s="12" t="s">
        <v>240</v>
      </c>
      <c r="N128" s="12" t="s">
        <v>292</v>
      </c>
      <c r="O128" s="14"/>
      <c r="P128" s="12" t="s">
        <v>445</v>
      </c>
      <c r="Q128" s="12" t="s">
        <v>445</v>
      </c>
      <c r="R128" s="12" t="s">
        <v>904</v>
      </c>
      <c r="S128" s="12" t="s">
        <v>446</v>
      </c>
      <c r="T128" s="10"/>
      <c r="U128" s="12" t="s">
        <v>22</v>
      </c>
    </row>
    <row r="129" spans="1:21" x14ac:dyDescent="0.3">
      <c r="A129" s="10">
        <v>128</v>
      </c>
      <c r="B129" s="12"/>
      <c r="C129" s="12"/>
      <c r="D129" s="12">
        <v>128</v>
      </c>
      <c r="E129" s="12" t="e">
        <f ca="1">_xlfn.TEXTJOIN(" ",TRUE,"ID:",A129," 48LQFP:",#REF!,"64LQFP:",B129," 100LQFP:",C129," 144LQFP:",D129)</f>
        <v>#NAME?</v>
      </c>
      <c r="F129" s="12" t="s">
        <v>403</v>
      </c>
      <c r="G129" s="12"/>
      <c r="H129" s="12"/>
      <c r="I129" s="12" t="s">
        <v>403</v>
      </c>
      <c r="J129" s="12" t="s">
        <v>254</v>
      </c>
      <c r="K129" s="12"/>
      <c r="L129" s="12"/>
      <c r="M129" s="12" t="s">
        <v>347</v>
      </c>
      <c r="N129" s="12" t="s">
        <v>183</v>
      </c>
      <c r="O129" s="14"/>
      <c r="P129" s="12" t="s">
        <v>445</v>
      </c>
      <c r="Q129" s="12" t="s">
        <v>445</v>
      </c>
      <c r="R129" s="12" t="s">
        <v>904</v>
      </c>
      <c r="S129" s="12" t="s">
        <v>446</v>
      </c>
      <c r="T129" s="10"/>
      <c r="U129" s="12" t="s">
        <v>22</v>
      </c>
    </row>
    <row r="130" spans="1:21" x14ac:dyDescent="0.3">
      <c r="A130" s="10">
        <v>129</v>
      </c>
      <c r="B130" s="12"/>
      <c r="C130" s="12"/>
      <c r="D130" s="12">
        <v>129</v>
      </c>
      <c r="E130" s="12" t="e">
        <f ca="1">_xlfn.TEXTJOIN(" ",TRUE,"ID:",A130," 48LQFP:",#REF!,"64LQFP:",B130," 100LQFP:",C130," 144LQFP:",D130)</f>
        <v>#NAME?</v>
      </c>
      <c r="F130" s="12" t="s">
        <v>404</v>
      </c>
      <c r="G130" s="12"/>
      <c r="H130" s="12"/>
      <c r="I130" s="12" t="s">
        <v>404</v>
      </c>
      <c r="J130" s="12" t="s">
        <v>259</v>
      </c>
      <c r="K130" s="12"/>
      <c r="L130" s="12"/>
      <c r="M130" s="12" t="s">
        <v>268</v>
      </c>
      <c r="N130" s="12" t="s">
        <v>178</v>
      </c>
      <c r="O130" s="14"/>
      <c r="P130" s="12" t="s">
        <v>445</v>
      </c>
      <c r="Q130" s="12" t="s">
        <v>445</v>
      </c>
      <c r="R130" s="12" t="s">
        <v>904</v>
      </c>
      <c r="S130" s="12" t="s">
        <v>446</v>
      </c>
      <c r="T130" s="10"/>
      <c r="U130" s="12" t="s">
        <v>22</v>
      </c>
    </row>
    <row r="131" spans="1:21" x14ac:dyDescent="0.3">
      <c r="A131" s="10">
        <v>130</v>
      </c>
      <c r="B131" s="12">
        <v>55</v>
      </c>
      <c r="C131" s="12">
        <v>89</v>
      </c>
      <c r="D131" s="12">
        <v>130</v>
      </c>
      <c r="E131" s="12" t="e">
        <f ca="1">_xlfn.TEXTJOIN(" ",TRUE,"ID:",A131," 48LQFP:",#REF!,"64LQFP:",B131," 100LQFP:",C131," 144LQFP:",D131)</f>
        <v>#NAME?</v>
      </c>
      <c r="F131" s="12" t="s">
        <v>405</v>
      </c>
      <c r="G131" s="14"/>
      <c r="H131" s="14"/>
      <c r="I131" s="12" t="s">
        <v>405</v>
      </c>
      <c r="J131" s="12" t="s">
        <v>205</v>
      </c>
      <c r="K131" s="12" t="s">
        <v>378</v>
      </c>
      <c r="L131" s="12" t="s">
        <v>104</v>
      </c>
      <c r="M131" s="12" t="s">
        <v>265</v>
      </c>
      <c r="N131" s="12" t="s">
        <v>56</v>
      </c>
      <c r="O131" s="14"/>
      <c r="P131" s="12" t="s">
        <v>445</v>
      </c>
      <c r="Q131" s="12" t="s">
        <v>445</v>
      </c>
      <c r="R131" s="12" t="s">
        <v>904</v>
      </c>
      <c r="S131" s="12" t="s">
        <v>446</v>
      </c>
      <c r="T131" s="15" t="s">
        <v>406</v>
      </c>
      <c r="U131" s="12" t="s">
        <v>22</v>
      </c>
    </row>
    <row r="132" spans="1:21" x14ac:dyDescent="0.3">
      <c r="A132" s="10">
        <v>131</v>
      </c>
      <c r="B132" s="12"/>
      <c r="C132" s="12"/>
      <c r="D132" s="12">
        <v>131</v>
      </c>
      <c r="E132" s="12" t="e">
        <f ca="1">_xlfn.TEXTJOIN(" ",TRUE,"ID:",A132," 48LQFP:",#REF!,"64LQFP:",B132," 100LQFP:",C132," 144LQFP:",D132)</f>
        <v>#NAME?</v>
      </c>
      <c r="F132" s="12" t="s">
        <v>407</v>
      </c>
      <c r="G132" s="12"/>
      <c r="H132" s="12"/>
      <c r="I132" s="12" t="s">
        <v>407</v>
      </c>
      <c r="J132" s="12" t="s">
        <v>262</v>
      </c>
      <c r="K132" s="12" t="s">
        <v>382</v>
      </c>
      <c r="L132" s="12"/>
      <c r="M132" s="12" t="s">
        <v>265</v>
      </c>
      <c r="N132" s="12" t="s">
        <v>174</v>
      </c>
      <c r="O132" s="14"/>
      <c r="P132" s="12" t="s">
        <v>445</v>
      </c>
      <c r="Q132" s="12" t="s">
        <v>445</v>
      </c>
      <c r="R132" s="12" t="s">
        <v>904</v>
      </c>
      <c r="S132" s="12" t="s">
        <v>446</v>
      </c>
      <c r="T132" s="10"/>
      <c r="U132" s="12" t="s">
        <v>22</v>
      </c>
    </row>
    <row r="133" spans="1:21" x14ac:dyDescent="0.3">
      <c r="A133" s="10">
        <v>132</v>
      </c>
      <c r="B133" s="12"/>
      <c r="C133" s="12"/>
      <c r="D133" s="12">
        <v>132</v>
      </c>
      <c r="E133" s="12" t="e">
        <f ca="1">_xlfn.TEXTJOIN(" ",TRUE,"ID:",A133," 48LQFP:",#REF!,"64LQFP:",B133," 100LQFP:",C133," 144LQFP:",D133)</f>
        <v>#NAME?</v>
      </c>
      <c r="F133" s="12" t="s">
        <v>408</v>
      </c>
      <c r="G133" s="12"/>
      <c r="H133" s="12"/>
      <c r="I133" s="12" t="s">
        <v>408</v>
      </c>
      <c r="J133" s="12" t="s">
        <v>138</v>
      </c>
      <c r="K133" s="12" t="s">
        <v>222</v>
      </c>
      <c r="L133" s="12"/>
      <c r="M133" s="12" t="s">
        <v>240</v>
      </c>
      <c r="N133" s="12" t="s">
        <v>190</v>
      </c>
      <c r="O133" s="14"/>
      <c r="P133" s="12" t="s">
        <v>445</v>
      </c>
      <c r="Q133" s="12" t="s">
        <v>445</v>
      </c>
      <c r="R133" s="12" t="s">
        <v>904</v>
      </c>
      <c r="S133" s="12" t="s">
        <v>446</v>
      </c>
      <c r="T133" s="10"/>
      <c r="U133" s="12" t="s">
        <v>22</v>
      </c>
    </row>
    <row r="134" spans="1:21" x14ac:dyDescent="0.3">
      <c r="A134" s="10">
        <v>133</v>
      </c>
      <c r="B134" s="12"/>
      <c r="C134" s="12"/>
      <c r="D134" s="12">
        <v>133</v>
      </c>
      <c r="E134" s="12" t="e">
        <f ca="1">_xlfn.TEXTJOIN(" ",TRUE,"ID:",A134," 48LQFP:",#REF!,"64LQFP:",B134," 100LQFP:",C134," 144LQFP:",D134)</f>
        <v>#NAME?</v>
      </c>
      <c r="F134" s="12" t="s">
        <v>409</v>
      </c>
      <c r="G134" s="12"/>
      <c r="H134" s="12"/>
      <c r="I134" s="12" t="s">
        <v>409</v>
      </c>
      <c r="J134" s="12" t="s">
        <v>50</v>
      </c>
      <c r="K134" s="12" t="s">
        <v>226</v>
      </c>
      <c r="L134" s="12"/>
      <c r="M134" s="12" t="s">
        <v>105</v>
      </c>
      <c r="N134" s="12" t="s">
        <v>187</v>
      </c>
      <c r="O134" s="14"/>
      <c r="P134" s="12" t="s">
        <v>445</v>
      </c>
      <c r="Q134" s="12" t="s">
        <v>445</v>
      </c>
      <c r="R134" s="12" t="s">
        <v>904</v>
      </c>
      <c r="S134" s="12" t="s">
        <v>446</v>
      </c>
      <c r="T134" s="10"/>
      <c r="U134" s="12" t="s">
        <v>22</v>
      </c>
    </row>
    <row r="135" spans="1:21" x14ac:dyDescent="0.3">
      <c r="A135" s="10">
        <v>134</v>
      </c>
      <c r="B135" s="12">
        <v>56</v>
      </c>
      <c r="C135" s="12">
        <v>90</v>
      </c>
      <c r="D135" s="12">
        <v>134</v>
      </c>
      <c r="E135" s="12" t="e">
        <f ca="1">_xlfn.TEXTJOIN(" ",TRUE,"ID:",A135," 48LQFP:",#REF!,"64LQFP:",B135," 100LQFP:",C135," 144LQFP:",D135)</f>
        <v>#NAME?</v>
      </c>
      <c r="F135" s="12" t="s">
        <v>410</v>
      </c>
      <c r="G135" s="14"/>
      <c r="H135" s="14"/>
      <c r="I135" s="12" t="s">
        <v>410</v>
      </c>
      <c r="J135" s="12" t="s">
        <v>211</v>
      </c>
      <c r="K135" s="12" t="s">
        <v>382</v>
      </c>
      <c r="L135" s="12" t="s">
        <v>78</v>
      </c>
      <c r="M135" s="14"/>
      <c r="N135" s="12" t="s">
        <v>63</v>
      </c>
      <c r="O135" s="12" t="s">
        <v>162</v>
      </c>
      <c r="P135" s="12" t="s">
        <v>445</v>
      </c>
      <c r="Q135" s="12" t="s">
        <v>445</v>
      </c>
      <c r="R135" s="12" t="s">
        <v>904</v>
      </c>
      <c r="S135" s="12" t="s">
        <v>446</v>
      </c>
      <c r="T135" s="15" t="s">
        <v>411</v>
      </c>
      <c r="U135" s="12" t="s">
        <v>22</v>
      </c>
    </row>
    <row r="136" spans="1:21" x14ac:dyDescent="0.3">
      <c r="A136" s="10">
        <v>135</v>
      </c>
      <c r="B136" s="12">
        <v>57</v>
      </c>
      <c r="C136" s="12">
        <v>91</v>
      </c>
      <c r="D136" s="12">
        <v>135</v>
      </c>
      <c r="E136" s="12" t="e">
        <f ca="1">_xlfn.TEXTJOIN(" ",TRUE,"ID:",A136," 48LQFP:",#REF!,"64LQFP:",B136," 100LQFP:",C136," 144LQFP:",D136)</f>
        <v>#NAME?</v>
      </c>
      <c r="F136" s="12" t="s">
        <v>412</v>
      </c>
      <c r="G136" s="12"/>
      <c r="H136" s="12"/>
      <c r="I136" s="12" t="s">
        <v>412</v>
      </c>
      <c r="J136" s="12" t="s">
        <v>215</v>
      </c>
      <c r="K136" s="12" t="s">
        <v>378</v>
      </c>
      <c r="L136" s="12" t="s">
        <v>83</v>
      </c>
      <c r="M136" s="12" t="s">
        <v>122</v>
      </c>
      <c r="N136" s="12" t="s">
        <v>86</v>
      </c>
      <c r="O136" s="12" t="s">
        <v>167</v>
      </c>
      <c r="P136" s="12" t="s">
        <v>445</v>
      </c>
      <c r="Q136" s="12" t="s">
        <v>445</v>
      </c>
      <c r="R136" s="12" t="s">
        <v>445</v>
      </c>
      <c r="S136" s="12" t="s">
        <v>446</v>
      </c>
      <c r="T136" s="10"/>
      <c r="U136" s="12" t="s">
        <v>22</v>
      </c>
    </row>
    <row r="137" spans="1:21" x14ac:dyDescent="0.3">
      <c r="A137" s="10">
        <v>136</v>
      </c>
      <c r="B137" s="12">
        <v>58</v>
      </c>
      <c r="C137" s="12">
        <v>92</v>
      </c>
      <c r="D137" s="12">
        <v>136</v>
      </c>
      <c r="E137" s="12" t="e">
        <f ca="1">_xlfn.TEXTJOIN(" ",TRUE,"ID:",A137," 48LQFP:",#REF!,"64LQFP:",B137," 100LQFP:",C137," 144LQFP:",D137)</f>
        <v>#NAME?</v>
      </c>
      <c r="F137" s="12" t="s">
        <v>413</v>
      </c>
      <c r="G137" s="12" t="s">
        <v>414</v>
      </c>
      <c r="H137" s="12"/>
      <c r="I137" s="12" t="s">
        <v>413</v>
      </c>
      <c r="J137" s="12" t="s">
        <v>218</v>
      </c>
      <c r="K137" s="12"/>
      <c r="L137" s="12" t="s">
        <v>94</v>
      </c>
      <c r="M137" s="12"/>
      <c r="N137" s="12"/>
      <c r="O137" s="12" t="s">
        <v>414</v>
      </c>
      <c r="P137" s="12" t="s">
        <v>445</v>
      </c>
      <c r="Q137" s="12" t="s">
        <v>445</v>
      </c>
      <c r="R137" s="12" t="s">
        <v>445</v>
      </c>
      <c r="S137" s="12" t="s">
        <v>446</v>
      </c>
      <c r="T137" s="10"/>
      <c r="U137" s="12" t="s">
        <v>22</v>
      </c>
    </row>
    <row r="138" spans="1:21" x14ac:dyDescent="0.3">
      <c r="A138" s="10">
        <v>137</v>
      </c>
      <c r="B138" s="12">
        <v>59</v>
      </c>
      <c r="C138" s="12">
        <v>93</v>
      </c>
      <c r="D138" s="12">
        <v>137</v>
      </c>
      <c r="E138" s="12" t="e">
        <f ca="1">_xlfn.TEXTJOIN(" ",TRUE,"ID:",A138," 48LQFP:",#REF!,"64LQFP:",B138," 100LQFP:",C138," 144LQFP:",D138)</f>
        <v>#NAME?</v>
      </c>
      <c r="F138" s="12" t="s">
        <v>415</v>
      </c>
      <c r="G138" s="12"/>
      <c r="H138" s="12"/>
      <c r="I138" s="12" t="s">
        <v>415</v>
      </c>
      <c r="J138" s="12" t="s">
        <v>121</v>
      </c>
      <c r="K138" s="12"/>
      <c r="L138" s="12" t="s">
        <v>156</v>
      </c>
      <c r="M138" s="12" t="s">
        <v>86</v>
      </c>
      <c r="N138" s="12" t="s">
        <v>288</v>
      </c>
      <c r="O138" s="12"/>
      <c r="P138" s="12" t="s">
        <v>445</v>
      </c>
      <c r="Q138" s="12" t="s">
        <v>445</v>
      </c>
      <c r="R138" s="12" t="s">
        <v>445</v>
      </c>
      <c r="S138" s="12" t="s">
        <v>446</v>
      </c>
      <c r="T138" s="15" t="s">
        <v>416</v>
      </c>
      <c r="U138" s="12" t="s">
        <v>22</v>
      </c>
    </row>
    <row r="139" spans="1:21" x14ac:dyDescent="0.3">
      <c r="A139" s="10">
        <v>138</v>
      </c>
      <c r="B139" s="12">
        <v>60</v>
      </c>
      <c r="C139" s="12">
        <v>94</v>
      </c>
      <c r="D139" s="12">
        <v>138</v>
      </c>
      <c r="E139" s="12" t="e">
        <f ca="1">_xlfn.TEXTJOIN(" ",TRUE,"ID:",A139," 48LQFP:",#REF!,"64LQFP:",B139," 100LQFP:",C139," 144LQFP:",D139)</f>
        <v>#NAME?</v>
      </c>
      <c r="F139" s="12" t="s">
        <v>417</v>
      </c>
      <c r="G139" s="12"/>
      <c r="H139" s="12"/>
      <c r="I139" s="12" t="s">
        <v>417</v>
      </c>
      <c r="J139" s="12" t="s">
        <v>128</v>
      </c>
      <c r="K139" s="12" t="s">
        <v>418</v>
      </c>
      <c r="L139" s="12" t="s">
        <v>153</v>
      </c>
      <c r="M139" s="12" t="s">
        <v>99</v>
      </c>
      <c r="N139" s="12" t="s">
        <v>225</v>
      </c>
      <c r="O139" s="14"/>
      <c r="P139" s="12" t="s">
        <v>445</v>
      </c>
      <c r="Q139" s="12" t="s">
        <v>445</v>
      </c>
      <c r="R139" s="12" t="s">
        <v>445</v>
      </c>
      <c r="S139" s="12" t="s">
        <v>446</v>
      </c>
      <c r="T139" s="15" t="s">
        <v>419</v>
      </c>
      <c r="U139" s="12" t="s">
        <v>22</v>
      </c>
    </row>
    <row r="140" spans="1:21" x14ac:dyDescent="0.3">
      <c r="A140" s="10">
        <v>139</v>
      </c>
      <c r="B140" s="12">
        <v>61</v>
      </c>
      <c r="C140" s="12">
        <v>95</v>
      </c>
      <c r="D140" s="12">
        <v>139</v>
      </c>
      <c r="E140" s="12" t="e">
        <f ca="1">_xlfn.TEXTJOIN(" ",TRUE,"ID:",A140," 48LQFP:",#REF!,"64LQFP:",B140," 100LQFP:",C140," 144LQFP:",D140)</f>
        <v>#NAME?</v>
      </c>
      <c r="F140" s="12" t="s">
        <v>420</v>
      </c>
      <c r="G140" s="12" t="s">
        <v>421</v>
      </c>
      <c r="H140" s="12"/>
      <c r="I140" s="12" t="s">
        <v>420</v>
      </c>
      <c r="J140" s="12" t="s">
        <v>32</v>
      </c>
      <c r="K140" s="12" t="s">
        <v>145</v>
      </c>
      <c r="L140" s="12" t="s">
        <v>161</v>
      </c>
      <c r="M140" s="14"/>
      <c r="N140" s="12" t="s">
        <v>63</v>
      </c>
      <c r="O140" s="12" t="s">
        <v>421</v>
      </c>
      <c r="P140" s="12" t="s">
        <v>445</v>
      </c>
      <c r="Q140" s="12" t="s">
        <v>445</v>
      </c>
      <c r="R140" s="12" t="s">
        <v>904</v>
      </c>
      <c r="S140" s="12" t="s">
        <v>446</v>
      </c>
      <c r="T140" s="10"/>
      <c r="U140" s="12" t="s">
        <v>422</v>
      </c>
    </row>
    <row r="141" spans="1:21" x14ac:dyDescent="0.3">
      <c r="A141" s="10">
        <v>140</v>
      </c>
      <c r="B141" s="12">
        <v>62</v>
      </c>
      <c r="C141" s="12">
        <v>96</v>
      </c>
      <c r="D141" s="12">
        <v>140</v>
      </c>
      <c r="E141" s="12" t="e">
        <f ca="1">_xlfn.TEXTJOIN(" ",TRUE,"ID:",A141," 48LQFP:",#REF!,"64LQFP:",B141," 100LQFP:",C141," 144LQFP:",D141)</f>
        <v>#NAME?</v>
      </c>
      <c r="F141" s="12" t="s">
        <v>423</v>
      </c>
      <c r="G141" s="12" t="s">
        <v>424</v>
      </c>
      <c r="H141" s="12" t="s">
        <v>425</v>
      </c>
      <c r="I141" s="12" t="s">
        <v>423</v>
      </c>
      <c r="J141" s="12" t="s">
        <v>257</v>
      </c>
      <c r="K141" s="12" t="s">
        <v>145</v>
      </c>
      <c r="L141" s="12"/>
      <c r="M141" s="12" t="s">
        <v>59</v>
      </c>
      <c r="N141" s="12" t="s">
        <v>258</v>
      </c>
      <c r="O141" s="12" t="s">
        <v>424</v>
      </c>
      <c r="P141" s="12" t="s">
        <v>445</v>
      </c>
      <c r="Q141" s="12" t="s">
        <v>445</v>
      </c>
      <c r="R141" s="12" t="s">
        <v>904</v>
      </c>
      <c r="S141" s="12" t="s">
        <v>446</v>
      </c>
      <c r="T141" s="10"/>
      <c r="U141" s="12" t="s">
        <v>426</v>
      </c>
    </row>
    <row r="142" spans="1:21" x14ac:dyDescent="0.3">
      <c r="A142" s="10">
        <v>141</v>
      </c>
      <c r="B142" s="12">
        <v>63</v>
      </c>
      <c r="C142" s="12">
        <v>97</v>
      </c>
      <c r="D142" s="12">
        <v>141</v>
      </c>
      <c r="E142" s="12" t="e">
        <f ca="1">_xlfn.TEXTJOIN(" ",TRUE,"ID:",A142," 48LQFP:",#REF!,"64LQFP:",B142," 100LQFP:",C142," 144LQFP:",D142)</f>
        <v>#NAME?</v>
      </c>
      <c r="F142" s="12" t="s">
        <v>427</v>
      </c>
      <c r="G142" s="12" t="s">
        <v>428</v>
      </c>
      <c r="H142" s="12"/>
      <c r="I142" s="12" t="s">
        <v>427</v>
      </c>
      <c r="J142" s="12" t="s">
        <v>203</v>
      </c>
      <c r="K142" s="12" t="s">
        <v>418</v>
      </c>
      <c r="L142" s="12"/>
      <c r="M142" s="12"/>
      <c r="N142" s="12"/>
      <c r="O142" s="12" t="s">
        <v>428</v>
      </c>
      <c r="P142" s="12" t="s">
        <v>445</v>
      </c>
      <c r="Q142" s="12" t="s">
        <v>445</v>
      </c>
      <c r="R142" s="12" t="s">
        <v>904</v>
      </c>
      <c r="S142" s="12" t="s">
        <v>448</v>
      </c>
      <c r="T142" s="10"/>
      <c r="U142" s="12" t="s">
        <v>422</v>
      </c>
    </row>
    <row r="143" spans="1:21" x14ac:dyDescent="0.3">
      <c r="A143" s="10">
        <v>142</v>
      </c>
      <c r="B143" s="12">
        <v>64</v>
      </c>
      <c r="C143" s="12">
        <v>98</v>
      </c>
      <c r="D143" s="12">
        <v>142</v>
      </c>
      <c r="E143" s="12" t="e">
        <f ca="1">_xlfn.TEXTJOIN(" ",TRUE,"ID:",A143," 48LQFP:",#REF!,"64LQFP:",B143," 100LQFP:",C143," 144LQFP:",D143)</f>
        <v>#NAME?</v>
      </c>
      <c r="F143" s="12" t="s">
        <v>429</v>
      </c>
      <c r="G143" s="12" t="s">
        <v>430</v>
      </c>
      <c r="H143" s="12"/>
      <c r="I143" s="12" t="s">
        <v>429</v>
      </c>
      <c r="J143" s="12" t="s">
        <v>209</v>
      </c>
      <c r="K143" s="12"/>
      <c r="L143" s="12" t="s">
        <v>96</v>
      </c>
      <c r="M143" s="12" t="s">
        <v>66</v>
      </c>
      <c r="N143" s="12"/>
      <c r="O143" s="12" t="s">
        <v>430</v>
      </c>
      <c r="P143" s="12" t="s">
        <v>445</v>
      </c>
      <c r="Q143" s="12" t="s">
        <v>445</v>
      </c>
      <c r="R143" s="12" t="s">
        <v>904</v>
      </c>
      <c r="S143" s="12" t="s">
        <v>446</v>
      </c>
      <c r="T143" s="10"/>
      <c r="U143" s="12" t="s">
        <v>422</v>
      </c>
    </row>
    <row r="144" spans="1:21" x14ac:dyDescent="0.3">
      <c r="A144" s="10">
        <v>143</v>
      </c>
      <c r="B144" s="12"/>
      <c r="C144" s="12">
        <v>99</v>
      </c>
      <c r="D144" s="12">
        <v>143</v>
      </c>
      <c r="E144" s="12" t="e">
        <f ca="1">_xlfn.TEXTJOIN(" ",TRUE,"ID:",A144," 48LQFP:",#REF!,"64LQFP:",B144," 100LQFP:",C144," 144LQFP:",D144)</f>
        <v>#NAME?</v>
      </c>
      <c r="F144" s="12" t="s">
        <v>431</v>
      </c>
      <c r="G144" s="14"/>
      <c r="H144" s="14"/>
      <c r="I144" s="12" t="s">
        <v>431</v>
      </c>
      <c r="J144" s="12" t="s">
        <v>103</v>
      </c>
      <c r="K144" s="12" t="s">
        <v>36</v>
      </c>
      <c r="L144" s="12" t="s">
        <v>93</v>
      </c>
      <c r="M144" s="12" t="s">
        <v>326</v>
      </c>
      <c r="N144" s="12" t="s">
        <v>221</v>
      </c>
      <c r="O144" s="14"/>
      <c r="P144" s="12" t="s">
        <v>445</v>
      </c>
      <c r="Q144" s="12" t="s">
        <v>445</v>
      </c>
      <c r="R144" s="12" t="s">
        <v>904</v>
      </c>
      <c r="S144" s="12" t="s">
        <v>446</v>
      </c>
      <c r="T144" s="10"/>
      <c r="U144" s="12" t="s">
        <v>22</v>
      </c>
    </row>
    <row r="145" spans="1:21" x14ac:dyDescent="0.3">
      <c r="A145" s="10">
        <v>144</v>
      </c>
      <c r="B145" s="12"/>
      <c r="C145" s="12">
        <v>100</v>
      </c>
      <c r="D145" s="12">
        <v>144</v>
      </c>
      <c r="E145" s="12" t="e">
        <f ca="1">_xlfn.TEXTJOIN(" ",TRUE,"ID:",A145," 48LQFP:",#REF!,"64LQFP:",B145," 100LQFP:",C145," 144LQFP:",D145)</f>
        <v>#NAME?</v>
      </c>
      <c r="F145" s="12" t="s">
        <v>432</v>
      </c>
      <c r="G145" s="14"/>
      <c r="H145" s="14"/>
      <c r="I145" s="12" t="s">
        <v>432</v>
      </c>
      <c r="J145" s="12" t="s">
        <v>112</v>
      </c>
      <c r="K145" s="12" t="s">
        <v>202</v>
      </c>
      <c r="L145" s="12" t="s">
        <v>31</v>
      </c>
      <c r="M145" s="12" t="s">
        <v>333</v>
      </c>
      <c r="N145" s="14"/>
      <c r="O145" s="14"/>
      <c r="P145" s="12" t="s">
        <v>445</v>
      </c>
      <c r="Q145" s="12" t="s">
        <v>445</v>
      </c>
      <c r="R145" s="12" t="s">
        <v>904</v>
      </c>
      <c r="S145" s="12" t="s">
        <v>446</v>
      </c>
      <c r="T145" s="10"/>
      <c r="U145" s="12" t="s">
        <v>22</v>
      </c>
    </row>
  </sheetData>
  <autoFilter ref="A1:U145" xr:uid="{00000000-0009-0000-0000-000000000000}"/>
  <phoneticPr fontId="10" type="noConversion"/>
  <conditionalFormatting sqref="A1:U145">
    <cfRule type="containsBlanks" dxfId="1" priority="1">
      <formula>LEN(TRIM(A1))=0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4583-9747-4C1B-9AAF-85FC5B1EFD95}">
  <dimension ref="A1:G606"/>
  <sheetViews>
    <sheetView zoomScale="175" zoomScaleNormal="175" workbookViewId="0">
      <pane ySplit="1" topLeftCell="A2" activePane="bottomLeft" state="frozen"/>
      <selection pane="bottomLeft" activeCell="L10" sqref="L10"/>
    </sheetView>
  </sheetViews>
  <sheetFormatPr defaultColWidth="9" defaultRowHeight="11.4" x14ac:dyDescent="0.3"/>
  <cols>
    <col min="1" max="1" width="14.6640625" style="20" customWidth="1"/>
    <col min="2" max="2" width="14.21875" style="20" bestFit="1" customWidth="1"/>
    <col min="3" max="3" width="32.33203125" style="20" bestFit="1" customWidth="1"/>
    <col min="4" max="4" width="14.33203125" style="20" bestFit="1" customWidth="1"/>
    <col min="5" max="5" width="24.21875" style="20" bestFit="1" customWidth="1"/>
    <col min="6" max="7" width="23.6640625" style="20" bestFit="1" customWidth="1"/>
    <col min="8" max="12" width="9" style="20"/>
    <col min="13" max="13" width="21.33203125" style="20" customWidth="1"/>
    <col min="14" max="16384" width="9" style="20"/>
  </cols>
  <sheetData>
    <row r="1" spans="1:7" ht="14.4" x14ac:dyDescent="0.3">
      <c r="A1" s="15" t="s">
        <v>894</v>
      </c>
      <c r="B1" s="15" t="s">
        <v>895</v>
      </c>
      <c r="C1" s="15" t="s">
        <v>896</v>
      </c>
      <c r="D1" s="15" t="s">
        <v>897</v>
      </c>
      <c r="E1" s="15" t="s">
        <v>898</v>
      </c>
      <c r="F1" s="15" t="s">
        <v>899</v>
      </c>
      <c r="G1" s="15" t="s">
        <v>900</v>
      </c>
    </row>
    <row r="2" spans="1:7" ht="14.4" x14ac:dyDescent="0.3">
      <c r="A2" s="12" t="s">
        <v>452</v>
      </c>
      <c r="B2" s="12" t="s">
        <v>453</v>
      </c>
      <c r="C2" s="12" t="s">
        <v>453</v>
      </c>
      <c r="D2" s="12" t="s">
        <v>454</v>
      </c>
      <c r="E2" s="12">
        <v>3</v>
      </c>
      <c r="F2" s="12">
        <v>3</v>
      </c>
      <c r="G2" s="12">
        <v>1</v>
      </c>
    </row>
    <row r="3" spans="1:7" ht="14.4" x14ac:dyDescent="0.3">
      <c r="A3" s="12" t="s">
        <v>452</v>
      </c>
      <c r="B3" s="12" t="s">
        <v>455</v>
      </c>
      <c r="C3" s="12" t="s">
        <v>455</v>
      </c>
      <c r="D3" s="12" t="s">
        <v>454</v>
      </c>
      <c r="E3" s="12">
        <v>11</v>
      </c>
      <c r="F3" s="12">
        <v>10</v>
      </c>
      <c r="G3" s="12">
        <v>7</v>
      </c>
    </row>
    <row r="4" spans="1:7" ht="14.4" x14ac:dyDescent="0.3">
      <c r="A4" s="12" t="s">
        <v>452</v>
      </c>
      <c r="B4" s="12" t="s">
        <v>456</v>
      </c>
      <c r="C4" s="12" t="s">
        <v>456</v>
      </c>
      <c r="D4" s="12" t="s">
        <v>454</v>
      </c>
      <c r="E4" s="12">
        <v>12</v>
      </c>
      <c r="F4" s="12"/>
      <c r="G4" s="12"/>
    </row>
    <row r="5" spans="1:7" ht="14.4" x14ac:dyDescent="0.3">
      <c r="A5" s="12" t="s">
        <v>452</v>
      </c>
      <c r="B5" s="12" t="s">
        <v>457</v>
      </c>
      <c r="C5" s="12" t="s">
        <v>457</v>
      </c>
      <c r="D5" s="12" t="s">
        <v>454</v>
      </c>
      <c r="E5" s="12">
        <v>13</v>
      </c>
      <c r="F5" s="12">
        <v>11</v>
      </c>
      <c r="G5" s="12">
        <v>8</v>
      </c>
    </row>
    <row r="6" spans="1:7" ht="14.4" x14ac:dyDescent="0.3">
      <c r="A6" s="12" t="s">
        <v>452</v>
      </c>
      <c r="B6" s="12" t="s">
        <v>458</v>
      </c>
      <c r="C6" s="12" t="s">
        <v>458</v>
      </c>
      <c r="D6" s="12" t="s">
        <v>454</v>
      </c>
      <c r="E6" s="12">
        <v>14</v>
      </c>
      <c r="F6" s="12">
        <v>12</v>
      </c>
      <c r="G6" s="12">
        <v>9</v>
      </c>
    </row>
    <row r="7" spans="1:7" ht="14.4" x14ac:dyDescent="0.3">
      <c r="A7" s="12" t="s">
        <v>452</v>
      </c>
      <c r="B7" s="12" t="s">
        <v>459</v>
      </c>
      <c r="C7" s="12" t="s">
        <v>459</v>
      </c>
      <c r="D7" s="12" t="s">
        <v>454</v>
      </c>
      <c r="E7" s="12">
        <v>15</v>
      </c>
      <c r="F7" s="12">
        <v>13</v>
      </c>
      <c r="G7" s="12"/>
    </row>
    <row r="8" spans="1:7" ht="14.4" x14ac:dyDescent="0.3">
      <c r="A8" s="12" t="s">
        <v>452</v>
      </c>
      <c r="B8" s="12" t="s">
        <v>456</v>
      </c>
      <c r="C8" s="12" t="s">
        <v>456</v>
      </c>
      <c r="D8" s="12" t="s">
        <v>454</v>
      </c>
      <c r="E8" s="12">
        <v>16</v>
      </c>
      <c r="F8" s="12">
        <v>14</v>
      </c>
      <c r="G8" s="12">
        <v>10</v>
      </c>
    </row>
    <row r="9" spans="1:7" ht="14.4" x14ac:dyDescent="0.3">
      <c r="A9" s="12" t="s">
        <v>452</v>
      </c>
      <c r="B9" s="12" t="s">
        <v>456</v>
      </c>
      <c r="C9" s="12" t="s">
        <v>456</v>
      </c>
      <c r="D9" s="12" t="s">
        <v>454</v>
      </c>
      <c r="E9" s="12">
        <v>31</v>
      </c>
      <c r="F9" s="12"/>
      <c r="G9" s="12"/>
    </row>
    <row r="10" spans="1:7" ht="14.4" x14ac:dyDescent="0.3">
      <c r="A10" s="12" t="s">
        <v>452</v>
      </c>
      <c r="B10" s="12" t="s">
        <v>455</v>
      </c>
      <c r="C10" s="12" t="s">
        <v>455</v>
      </c>
      <c r="D10" s="12" t="s">
        <v>454</v>
      </c>
      <c r="E10" s="12">
        <v>32</v>
      </c>
      <c r="F10" s="12"/>
      <c r="G10" s="12"/>
    </row>
    <row r="11" spans="1:7" ht="14.4" x14ac:dyDescent="0.3">
      <c r="A11" s="12" t="s">
        <v>452</v>
      </c>
      <c r="B11" s="12" t="s">
        <v>456</v>
      </c>
      <c r="C11" s="12" t="s">
        <v>456</v>
      </c>
      <c r="D11" s="12" t="s">
        <v>454</v>
      </c>
      <c r="E11" s="12">
        <v>50</v>
      </c>
      <c r="F11" s="12">
        <v>37</v>
      </c>
      <c r="G11" s="12"/>
    </row>
    <row r="12" spans="1:7" ht="14.4" x14ac:dyDescent="0.3">
      <c r="A12" s="12" t="s">
        <v>452</v>
      </c>
      <c r="B12" s="12" t="s">
        <v>455</v>
      </c>
      <c r="C12" s="12" t="s">
        <v>455</v>
      </c>
      <c r="D12" s="12" t="s">
        <v>454</v>
      </c>
      <c r="E12" s="12">
        <v>51</v>
      </c>
      <c r="F12" s="12">
        <v>38</v>
      </c>
      <c r="G12" s="12"/>
    </row>
    <row r="13" spans="1:7" ht="14.4" x14ac:dyDescent="0.3">
      <c r="A13" s="12" t="s">
        <v>452</v>
      </c>
      <c r="B13" s="12" t="s">
        <v>456</v>
      </c>
      <c r="C13" s="12" t="s">
        <v>456</v>
      </c>
      <c r="D13" s="12" t="s">
        <v>454</v>
      </c>
      <c r="E13" s="12">
        <v>66</v>
      </c>
      <c r="F13" s="12"/>
      <c r="G13" s="12"/>
    </row>
    <row r="14" spans="1:7" ht="14.4" x14ac:dyDescent="0.3">
      <c r="A14" s="12" t="s">
        <v>452</v>
      </c>
      <c r="B14" s="12" t="s">
        <v>455</v>
      </c>
      <c r="C14" s="12" t="s">
        <v>455</v>
      </c>
      <c r="D14" s="12" t="s">
        <v>454</v>
      </c>
      <c r="E14" s="12">
        <v>67</v>
      </c>
      <c r="F14" s="12"/>
      <c r="G14" s="12"/>
    </row>
    <row r="15" spans="1:7" ht="14.4" x14ac:dyDescent="0.3">
      <c r="A15" s="12" t="s">
        <v>452</v>
      </c>
      <c r="B15" s="12" t="s">
        <v>456</v>
      </c>
      <c r="C15" s="12" t="s">
        <v>456</v>
      </c>
      <c r="D15" s="12" t="s">
        <v>454</v>
      </c>
      <c r="E15" s="12">
        <v>90</v>
      </c>
      <c r="F15" s="12">
        <v>60</v>
      </c>
      <c r="G15" s="12">
        <v>40</v>
      </c>
    </row>
    <row r="16" spans="1:7" ht="14.4" x14ac:dyDescent="0.3">
      <c r="A16" s="12" t="s">
        <v>452</v>
      </c>
      <c r="B16" s="12" t="s">
        <v>455</v>
      </c>
      <c r="C16" s="12" t="s">
        <v>455</v>
      </c>
      <c r="D16" s="12" t="s">
        <v>454</v>
      </c>
      <c r="E16" s="12">
        <v>91</v>
      </c>
      <c r="F16" s="12">
        <v>61</v>
      </c>
      <c r="G16" s="12">
        <v>41</v>
      </c>
    </row>
    <row r="17" spans="1:7" ht="14.4" x14ac:dyDescent="0.3">
      <c r="A17" s="12" t="s">
        <v>452</v>
      </c>
      <c r="B17" s="12" t="s">
        <v>456</v>
      </c>
      <c r="C17" s="12" t="s">
        <v>456</v>
      </c>
      <c r="D17" s="12" t="s">
        <v>454</v>
      </c>
      <c r="E17" s="12">
        <v>123</v>
      </c>
      <c r="F17" s="12">
        <v>86</v>
      </c>
      <c r="G17" s="12"/>
    </row>
    <row r="18" spans="1:7" ht="14.4" x14ac:dyDescent="0.3">
      <c r="A18" s="12" t="s">
        <v>452</v>
      </c>
      <c r="B18" s="12" t="s">
        <v>455</v>
      </c>
      <c r="C18" s="12" t="s">
        <v>455</v>
      </c>
      <c r="D18" s="12" t="s">
        <v>454</v>
      </c>
      <c r="E18" s="12">
        <v>124</v>
      </c>
      <c r="F18" s="12">
        <v>87</v>
      </c>
      <c r="G18" s="12"/>
    </row>
    <row r="19" spans="1:7" ht="14.4" x14ac:dyDescent="0.3">
      <c r="A19" s="12" t="s">
        <v>460</v>
      </c>
      <c r="B19" s="12" t="s">
        <v>461</v>
      </c>
      <c r="C19" s="12" t="s">
        <v>462</v>
      </c>
      <c r="D19" s="12" t="s">
        <v>463</v>
      </c>
      <c r="E19" s="12">
        <v>136</v>
      </c>
      <c r="F19" s="12">
        <v>92</v>
      </c>
      <c r="G19" s="12">
        <v>58</v>
      </c>
    </row>
    <row r="20" spans="1:7" ht="14.4" x14ac:dyDescent="0.3">
      <c r="A20" s="12" t="s">
        <v>460</v>
      </c>
      <c r="B20" s="12" t="s">
        <v>464</v>
      </c>
      <c r="C20" s="12" t="s">
        <v>465</v>
      </c>
      <c r="D20" s="12" t="s">
        <v>463</v>
      </c>
      <c r="E20" s="12">
        <v>139</v>
      </c>
      <c r="F20" s="12">
        <v>95</v>
      </c>
      <c r="G20" s="12">
        <v>61</v>
      </c>
    </row>
    <row r="21" spans="1:7" ht="14.4" x14ac:dyDescent="0.3">
      <c r="A21" s="12" t="s">
        <v>460</v>
      </c>
      <c r="B21" s="12" t="s">
        <v>466</v>
      </c>
      <c r="C21" s="12" t="s">
        <v>467</v>
      </c>
      <c r="D21" s="12" t="s">
        <v>463</v>
      </c>
      <c r="E21" s="12">
        <v>140</v>
      </c>
      <c r="F21" s="12">
        <v>96</v>
      </c>
      <c r="G21" s="12">
        <v>62</v>
      </c>
    </row>
    <row r="22" spans="1:7" ht="14.4" x14ac:dyDescent="0.3">
      <c r="A22" s="12" t="s">
        <v>460</v>
      </c>
      <c r="B22" s="12" t="s">
        <v>468</v>
      </c>
      <c r="C22" s="12" t="s">
        <v>469</v>
      </c>
      <c r="D22" s="12" t="s">
        <v>463</v>
      </c>
      <c r="E22" s="12">
        <v>141</v>
      </c>
      <c r="F22" s="12">
        <v>97</v>
      </c>
      <c r="G22" s="12">
        <v>63</v>
      </c>
    </row>
    <row r="23" spans="1:7" ht="14.4" x14ac:dyDescent="0.3">
      <c r="A23" s="12" t="s">
        <v>460</v>
      </c>
      <c r="B23" s="12" t="s">
        <v>470</v>
      </c>
      <c r="C23" s="12" t="s">
        <v>471</v>
      </c>
      <c r="D23" s="12" t="s">
        <v>463</v>
      </c>
      <c r="E23" s="12">
        <v>142</v>
      </c>
      <c r="F23" s="12">
        <v>98</v>
      </c>
      <c r="G23" s="12">
        <v>64</v>
      </c>
    </row>
    <row r="24" spans="1:7" ht="14.4" x14ac:dyDescent="0.3">
      <c r="A24" s="12" t="s">
        <v>460</v>
      </c>
      <c r="B24" s="12" t="s">
        <v>486</v>
      </c>
      <c r="C24" s="12" t="s">
        <v>487</v>
      </c>
      <c r="D24" s="12" t="s">
        <v>483</v>
      </c>
      <c r="E24" s="12">
        <v>43</v>
      </c>
      <c r="F24" s="12">
        <v>30</v>
      </c>
      <c r="G24" s="12">
        <v>21</v>
      </c>
    </row>
    <row r="25" spans="1:7" ht="14.4" x14ac:dyDescent="0.3">
      <c r="A25" s="12" t="s">
        <v>460</v>
      </c>
      <c r="B25" s="12" t="s">
        <v>484</v>
      </c>
      <c r="C25" s="12" t="s">
        <v>487</v>
      </c>
      <c r="D25" s="12" t="s">
        <v>463</v>
      </c>
      <c r="E25" s="12">
        <v>28</v>
      </c>
      <c r="F25" s="12">
        <v>21</v>
      </c>
      <c r="G25" s="12">
        <v>14</v>
      </c>
    </row>
    <row r="26" spans="1:7" ht="14.4" x14ac:dyDescent="0.3">
      <c r="A26" s="12" t="s">
        <v>460</v>
      </c>
      <c r="B26" s="12" t="s">
        <v>489</v>
      </c>
      <c r="C26" s="12" t="s">
        <v>487</v>
      </c>
      <c r="D26" s="12" t="s">
        <v>463</v>
      </c>
      <c r="E26" s="12">
        <v>121</v>
      </c>
      <c r="F26" s="12">
        <v>84</v>
      </c>
      <c r="G26" s="12">
        <v>53</v>
      </c>
    </row>
    <row r="27" spans="1:7" ht="14.4" x14ac:dyDescent="0.3">
      <c r="A27" s="12" t="s">
        <v>460</v>
      </c>
      <c r="B27" s="12" t="s">
        <v>481</v>
      </c>
      <c r="C27" s="12" t="s">
        <v>482</v>
      </c>
      <c r="D27" s="12" t="s">
        <v>483</v>
      </c>
      <c r="E27" s="12">
        <v>5</v>
      </c>
      <c r="F27" s="12">
        <v>5</v>
      </c>
      <c r="G27" s="12">
        <v>3</v>
      </c>
    </row>
    <row r="28" spans="1:7" ht="14.4" x14ac:dyDescent="0.3">
      <c r="A28" s="12" t="s">
        <v>460</v>
      </c>
      <c r="B28" s="12" t="s">
        <v>488</v>
      </c>
      <c r="C28" s="12" t="s">
        <v>482</v>
      </c>
      <c r="D28" s="12" t="s">
        <v>483</v>
      </c>
      <c r="E28" s="12">
        <v>44</v>
      </c>
      <c r="F28" s="12">
        <v>31</v>
      </c>
      <c r="G28" s="12">
        <v>22</v>
      </c>
    </row>
    <row r="29" spans="1:7" ht="14.4" x14ac:dyDescent="0.3">
      <c r="A29" s="12" t="s">
        <v>460</v>
      </c>
      <c r="B29" s="12" t="s">
        <v>472</v>
      </c>
      <c r="C29" s="12" t="s">
        <v>473</v>
      </c>
      <c r="D29" s="12" t="s">
        <v>474</v>
      </c>
      <c r="E29" s="12">
        <v>9</v>
      </c>
      <c r="F29" s="12">
        <v>9</v>
      </c>
      <c r="G29" s="12">
        <v>6</v>
      </c>
    </row>
    <row r="30" spans="1:7" ht="14.4" x14ac:dyDescent="0.3">
      <c r="A30" s="12" t="s">
        <v>460</v>
      </c>
      <c r="B30" s="12" t="s">
        <v>475</v>
      </c>
      <c r="C30" s="12" t="s">
        <v>473</v>
      </c>
      <c r="D30" s="12" t="s">
        <v>476</v>
      </c>
      <c r="E30" s="12">
        <v>47</v>
      </c>
      <c r="F30" s="12">
        <v>34</v>
      </c>
      <c r="G30" s="12"/>
    </row>
    <row r="31" spans="1:7" ht="14.4" x14ac:dyDescent="0.3">
      <c r="A31" s="12" t="s">
        <v>460</v>
      </c>
      <c r="B31" s="12" t="s">
        <v>477</v>
      </c>
      <c r="C31" s="12" t="s">
        <v>478</v>
      </c>
      <c r="D31" s="12" t="s">
        <v>476</v>
      </c>
      <c r="E31" s="12">
        <v>48</v>
      </c>
      <c r="F31" s="12">
        <v>35</v>
      </c>
      <c r="G31" s="12"/>
    </row>
    <row r="32" spans="1:7" ht="14.4" x14ac:dyDescent="0.3">
      <c r="A32" s="12" t="s">
        <v>460</v>
      </c>
      <c r="B32" s="12" t="s">
        <v>484</v>
      </c>
      <c r="C32" s="12" t="s">
        <v>478</v>
      </c>
      <c r="D32" s="12" t="s">
        <v>483</v>
      </c>
      <c r="E32" s="12">
        <v>28</v>
      </c>
      <c r="F32" s="12">
        <v>21</v>
      </c>
      <c r="G32" s="12">
        <v>14</v>
      </c>
    </row>
    <row r="33" spans="1:7" ht="14.4" x14ac:dyDescent="0.3">
      <c r="A33" s="12" t="s">
        <v>460</v>
      </c>
      <c r="B33" s="12" t="s">
        <v>489</v>
      </c>
      <c r="C33" s="12" t="s">
        <v>478</v>
      </c>
      <c r="D33" s="12" t="s">
        <v>483</v>
      </c>
      <c r="E33" s="12">
        <v>121</v>
      </c>
      <c r="F33" s="12">
        <v>84</v>
      </c>
      <c r="G33" s="12">
        <v>53</v>
      </c>
    </row>
    <row r="34" spans="1:7" ht="14.4" x14ac:dyDescent="0.3">
      <c r="A34" s="12" t="s">
        <v>460</v>
      </c>
      <c r="B34" s="12" t="s">
        <v>479</v>
      </c>
      <c r="C34" s="12" t="s">
        <v>480</v>
      </c>
      <c r="D34" s="12" t="s">
        <v>476</v>
      </c>
      <c r="E34" s="12">
        <v>49</v>
      </c>
      <c r="F34" s="12">
        <v>36</v>
      </c>
      <c r="G34" s="12"/>
    </row>
    <row r="35" spans="1:7" ht="14.4" x14ac:dyDescent="0.3">
      <c r="A35" s="12" t="s">
        <v>460</v>
      </c>
      <c r="B35" s="12" t="s">
        <v>485</v>
      </c>
      <c r="C35" s="12" t="s">
        <v>480</v>
      </c>
      <c r="D35" s="12" t="s">
        <v>483</v>
      </c>
      <c r="E35" s="12">
        <v>29</v>
      </c>
      <c r="F35" s="12">
        <v>22</v>
      </c>
      <c r="G35" s="12">
        <v>15</v>
      </c>
    </row>
    <row r="36" spans="1:7" ht="14.4" x14ac:dyDescent="0.3">
      <c r="A36" s="12" t="s">
        <v>460</v>
      </c>
      <c r="B36" s="12" t="s">
        <v>490</v>
      </c>
      <c r="C36" s="12" t="s">
        <v>480</v>
      </c>
      <c r="D36" s="12" t="s">
        <v>463</v>
      </c>
      <c r="E36" s="12">
        <v>122</v>
      </c>
      <c r="F36" s="12">
        <v>85</v>
      </c>
      <c r="G36" s="12">
        <v>54</v>
      </c>
    </row>
    <row r="37" spans="1:7" ht="14.4" x14ac:dyDescent="0.3">
      <c r="A37" s="12" t="s">
        <v>491</v>
      </c>
      <c r="B37" s="12" t="s">
        <v>492</v>
      </c>
      <c r="C37" s="12" t="s">
        <v>491</v>
      </c>
      <c r="D37" s="12" t="s">
        <v>476</v>
      </c>
      <c r="E37" s="12">
        <v>83</v>
      </c>
      <c r="F37" s="12">
        <v>57</v>
      </c>
      <c r="G37" s="12">
        <v>37</v>
      </c>
    </row>
    <row r="38" spans="1:7" ht="14.4" x14ac:dyDescent="0.3">
      <c r="A38" s="12" t="s">
        <v>902</v>
      </c>
      <c r="B38" s="12" t="s">
        <v>493</v>
      </c>
      <c r="C38" s="12" t="s">
        <v>494</v>
      </c>
      <c r="D38" s="12" t="s">
        <v>454</v>
      </c>
      <c r="E38" s="12">
        <v>17</v>
      </c>
      <c r="F38" s="12">
        <v>15</v>
      </c>
      <c r="G38" s="12">
        <v>11</v>
      </c>
    </row>
    <row r="39" spans="1:7" ht="14.4" x14ac:dyDescent="0.3">
      <c r="A39" s="12" t="s">
        <v>902</v>
      </c>
      <c r="B39" s="12" t="s">
        <v>495</v>
      </c>
      <c r="C39" s="12" t="s">
        <v>496</v>
      </c>
      <c r="D39" s="12" t="s">
        <v>454</v>
      </c>
      <c r="E39" s="12">
        <v>18</v>
      </c>
      <c r="F39" s="12">
        <v>16</v>
      </c>
      <c r="G39" s="12">
        <v>12</v>
      </c>
    </row>
    <row r="40" spans="1:7" ht="14.4" x14ac:dyDescent="0.3">
      <c r="A40" s="12" t="s">
        <v>903</v>
      </c>
      <c r="B40" s="12" t="s">
        <v>484</v>
      </c>
      <c r="C40" s="12" t="s">
        <v>497</v>
      </c>
      <c r="D40" s="12" t="s">
        <v>454</v>
      </c>
      <c r="E40" s="12">
        <v>28</v>
      </c>
      <c r="F40" s="12">
        <v>21</v>
      </c>
      <c r="G40" s="12">
        <v>14</v>
      </c>
    </row>
    <row r="41" spans="1:7" ht="14.4" x14ac:dyDescent="0.3">
      <c r="A41" s="12" t="s">
        <v>903</v>
      </c>
      <c r="B41" s="12" t="s">
        <v>485</v>
      </c>
      <c r="C41" s="12" t="s">
        <v>498</v>
      </c>
      <c r="D41" s="12" t="s">
        <v>454</v>
      </c>
      <c r="E41" s="12">
        <v>29</v>
      </c>
      <c r="F41" s="12">
        <v>22</v>
      </c>
      <c r="G41" s="12">
        <v>15</v>
      </c>
    </row>
    <row r="42" spans="1:7" ht="14.4" x14ac:dyDescent="0.3">
      <c r="A42" s="12" t="s">
        <v>499</v>
      </c>
      <c r="B42" s="12" t="s">
        <v>485</v>
      </c>
      <c r="C42" s="12" t="s">
        <v>511</v>
      </c>
      <c r="D42" s="12" t="s">
        <v>474</v>
      </c>
      <c r="E42" s="12">
        <v>29</v>
      </c>
      <c r="F42" s="12">
        <v>22</v>
      </c>
      <c r="G42" s="12">
        <v>15</v>
      </c>
    </row>
    <row r="43" spans="1:7" ht="14.4" x14ac:dyDescent="0.3">
      <c r="A43" s="12" t="s">
        <v>499</v>
      </c>
      <c r="B43" s="12" t="s">
        <v>532</v>
      </c>
      <c r="C43" s="12" t="s">
        <v>511</v>
      </c>
      <c r="D43" s="12" t="s">
        <v>474</v>
      </c>
      <c r="E43" s="12">
        <v>53</v>
      </c>
      <c r="F43" s="12">
        <v>40</v>
      </c>
      <c r="G43" s="12">
        <v>26</v>
      </c>
    </row>
    <row r="44" spans="1:7" ht="14.4" x14ac:dyDescent="0.3">
      <c r="A44" s="12" t="s">
        <v>499</v>
      </c>
      <c r="B44" s="12" t="s">
        <v>561</v>
      </c>
      <c r="C44" s="12" t="s">
        <v>511</v>
      </c>
      <c r="D44" s="12" t="s">
        <v>474</v>
      </c>
      <c r="E44" s="12">
        <v>98</v>
      </c>
      <c r="F44" s="12">
        <v>68</v>
      </c>
      <c r="G44" s="12">
        <v>43</v>
      </c>
    </row>
    <row r="45" spans="1:7" ht="14.4" x14ac:dyDescent="0.3">
      <c r="A45" s="12" t="s">
        <v>499</v>
      </c>
      <c r="B45" s="12" t="s">
        <v>484</v>
      </c>
      <c r="C45" s="12" t="s">
        <v>510</v>
      </c>
      <c r="D45" s="12" t="s">
        <v>474</v>
      </c>
      <c r="E45" s="12">
        <v>28</v>
      </c>
      <c r="F45" s="12">
        <v>21</v>
      </c>
      <c r="G45" s="12">
        <v>14</v>
      </c>
    </row>
    <row r="46" spans="1:7" ht="14.4" x14ac:dyDescent="0.3">
      <c r="A46" s="12" t="s">
        <v>499</v>
      </c>
      <c r="B46" s="12" t="s">
        <v>531</v>
      </c>
      <c r="C46" s="12" t="s">
        <v>510</v>
      </c>
      <c r="D46" s="12" t="s">
        <v>474</v>
      </c>
      <c r="E46" s="12">
        <v>52</v>
      </c>
      <c r="F46" s="12">
        <v>39</v>
      </c>
      <c r="G46" s="12">
        <v>25</v>
      </c>
    </row>
    <row r="47" spans="1:7" ht="14.4" x14ac:dyDescent="0.3">
      <c r="A47" s="12" t="s">
        <v>499</v>
      </c>
      <c r="B47" s="12" t="s">
        <v>560</v>
      </c>
      <c r="C47" s="12" t="s">
        <v>510</v>
      </c>
      <c r="D47" s="12" t="s">
        <v>474</v>
      </c>
      <c r="E47" s="12">
        <v>97</v>
      </c>
      <c r="F47" s="12">
        <v>67</v>
      </c>
      <c r="G47" s="12">
        <v>42</v>
      </c>
    </row>
    <row r="48" spans="1:7" ht="14.4" x14ac:dyDescent="0.3">
      <c r="A48" s="12" t="s">
        <v>499</v>
      </c>
      <c r="B48" s="12" t="s">
        <v>500</v>
      </c>
      <c r="C48" s="12" t="s">
        <v>501</v>
      </c>
      <c r="D48" s="12" t="s">
        <v>474</v>
      </c>
      <c r="E48" s="12">
        <v>4</v>
      </c>
      <c r="F48" s="12">
        <v>4</v>
      </c>
      <c r="G48" s="12">
        <v>2</v>
      </c>
    </row>
    <row r="49" spans="1:7" ht="14.4" x14ac:dyDescent="0.3">
      <c r="A49" s="12" t="s">
        <v>499</v>
      </c>
      <c r="B49" s="12" t="s">
        <v>486</v>
      </c>
      <c r="C49" s="12" t="s">
        <v>501</v>
      </c>
      <c r="D49" s="12" t="s">
        <v>474</v>
      </c>
      <c r="E49" s="12">
        <v>43</v>
      </c>
      <c r="F49" s="12">
        <v>30</v>
      </c>
      <c r="G49" s="12">
        <v>21</v>
      </c>
    </row>
    <row r="50" spans="1:7" ht="14.4" x14ac:dyDescent="0.3">
      <c r="A50" s="12" t="s">
        <v>499</v>
      </c>
      <c r="B50" s="12" t="s">
        <v>559</v>
      </c>
      <c r="C50" s="12" t="s">
        <v>501</v>
      </c>
      <c r="D50" s="12" t="s">
        <v>474</v>
      </c>
      <c r="E50" s="12">
        <v>96</v>
      </c>
      <c r="F50" s="12">
        <v>66</v>
      </c>
      <c r="G50" s="12"/>
    </row>
    <row r="51" spans="1:7" ht="14.4" x14ac:dyDescent="0.3">
      <c r="A51" s="12" t="s">
        <v>499</v>
      </c>
      <c r="B51" s="12" t="s">
        <v>593</v>
      </c>
      <c r="C51" s="12" t="s">
        <v>501</v>
      </c>
      <c r="D51" s="12" t="s">
        <v>591</v>
      </c>
      <c r="E51" s="12">
        <v>45</v>
      </c>
      <c r="F51" s="12">
        <v>32</v>
      </c>
      <c r="G51" s="12">
        <v>23</v>
      </c>
    </row>
    <row r="52" spans="1:7" ht="14.4" x14ac:dyDescent="0.3">
      <c r="A52" s="12" t="s">
        <v>499</v>
      </c>
      <c r="B52" s="12" t="s">
        <v>524</v>
      </c>
      <c r="C52" s="12" t="s">
        <v>525</v>
      </c>
      <c r="D52" s="12" t="s">
        <v>474</v>
      </c>
      <c r="E52" s="12">
        <v>42</v>
      </c>
      <c r="F52" s="12">
        <v>29</v>
      </c>
      <c r="G52" s="12">
        <v>20</v>
      </c>
    </row>
    <row r="53" spans="1:7" ht="14.4" x14ac:dyDescent="0.3">
      <c r="A53" s="12" t="s">
        <v>499</v>
      </c>
      <c r="B53" s="12" t="s">
        <v>558</v>
      </c>
      <c r="C53" s="12" t="s">
        <v>525</v>
      </c>
      <c r="D53" s="12" t="s">
        <v>474</v>
      </c>
      <c r="E53" s="12">
        <v>95</v>
      </c>
      <c r="F53" s="12">
        <v>65</v>
      </c>
      <c r="G53" s="12"/>
    </row>
    <row r="54" spans="1:7" ht="14.4" x14ac:dyDescent="0.3">
      <c r="A54" s="12" t="s">
        <v>499</v>
      </c>
      <c r="B54" s="12" t="s">
        <v>488</v>
      </c>
      <c r="C54" s="12" t="s">
        <v>525</v>
      </c>
      <c r="D54" s="12" t="s">
        <v>591</v>
      </c>
      <c r="E54" s="12">
        <v>44</v>
      </c>
      <c r="F54" s="12">
        <v>31</v>
      </c>
      <c r="G54" s="12">
        <v>22</v>
      </c>
    </row>
    <row r="55" spans="1:7" ht="14.4" x14ac:dyDescent="0.3">
      <c r="A55" s="12" t="s">
        <v>499</v>
      </c>
      <c r="B55" s="12" t="s">
        <v>522</v>
      </c>
      <c r="C55" s="12" t="s">
        <v>523</v>
      </c>
      <c r="D55" s="12" t="s">
        <v>474</v>
      </c>
      <c r="E55" s="12">
        <v>41</v>
      </c>
      <c r="F55" s="12">
        <v>28</v>
      </c>
      <c r="G55" s="12">
        <v>19</v>
      </c>
    </row>
    <row r="56" spans="1:7" ht="14.4" x14ac:dyDescent="0.3">
      <c r="A56" s="12" t="s">
        <v>499</v>
      </c>
      <c r="B56" s="12" t="s">
        <v>557</v>
      </c>
      <c r="C56" s="12" t="s">
        <v>523</v>
      </c>
      <c r="D56" s="12" t="s">
        <v>474</v>
      </c>
      <c r="E56" s="12">
        <v>94</v>
      </c>
      <c r="F56" s="12">
        <v>64</v>
      </c>
      <c r="G56" s="12"/>
    </row>
    <row r="57" spans="1:7" ht="14.4" x14ac:dyDescent="0.3">
      <c r="A57" s="12" t="s">
        <v>499</v>
      </c>
      <c r="B57" s="12" t="s">
        <v>520</v>
      </c>
      <c r="C57" s="12" t="s">
        <v>521</v>
      </c>
      <c r="D57" s="12" t="s">
        <v>474</v>
      </c>
      <c r="E57" s="12">
        <v>40</v>
      </c>
      <c r="F57" s="12">
        <v>27</v>
      </c>
      <c r="G57" s="12">
        <v>18</v>
      </c>
    </row>
    <row r="58" spans="1:7" ht="14.4" x14ac:dyDescent="0.3">
      <c r="A58" s="12" t="s">
        <v>499</v>
      </c>
      <c r="B58" s="12" t="s">
        <v>556</v>
      </c>
      <c r="C58" s="12" t="s">
        <v>521</v>
      </c>
      <c r="D58" s="12" t="s">
        <v>474</v>
      </c>
      <c r="E58" s="12">
        <v>93</v>
      </c>
      <c r="F58" s="12">
        <v>63</v>
      </c>
      <c r="G58" s="12"/>
    </row>
    <row r="59" spans="1:7" ht="14.4" x14ac:dyDescent="0.3">
      <c r="A59" s="12" t="s">
        <v>499</v>
      </c>
      <c r="B59" s="12" t="s">
        <v>518</v>
      </c>
      <c r="C59" s="12" t="s">
        <v>519</v>
      </c>
      <c r="D59" s="12" t="s">
        <v>474</v>
      </c>
      <c r="E59" s="12">
        <v>39</v>
      </c>
      <c r="F59" s="12">
        <v>26</v>
      </c>
      <c r="G59" s="12">
        <v>17</v>
      </c>
    </row>
    <row r="60" spans="1:7" ht="14.4" x14ac:dyDescent="0.3">
      <c r="A60" s="12" t="s">
        <v>499</v>
      </c>
      <c r="B60" s="12" t="s">
        <v>555</v>
      </c>
      <c r="C60" s="12" t="s">
        <v>519</v>
      </c>
      <c r="D60" s="12" t="s">
        <v>474</v>
      </c>
      <c r="E60" s="12">
        <v>92</v>
      </c>
      <c r="F60" s="12">
        <v>62</v>
      </c>
      <c r="G60" s="12"/>
    </row>
    <row r="61" spans="1:7" ht="14.4" x14ac:dyDescent="0.3">
      <c r="A61" s="12" t="s">
        <v>499</v>
      </c>
      <c r="B61" s="12" t="s">
        <v>551</v>
      </c>
      <c r="C61" s="12" t="s">
        <v>519</v>
      </c>
      <c r="D61" s="12" t="s">
        <v>591</v>
      </c>
      <c r="E61" s="12">
        <v>75</v>
      </c>
      <c r="F61" s="12">
        <v>52</v>
      </c>
      <c r="G61" s="12"/>
    </row>
    <row r="62" spans="1:7" ht="14.4" x14ac:dyDescent="0.3">
      <c r="A62" s="12" t="s">
        <v>499</v>
      </c>
      <c r="B62" s="12" t="s">
        <v>512</v>
      </c>
      <c r="C62" s="12" t="s">
        <v>513</v>
      </c>
      <c r="D62" s="12" t="s">
        <v>474</v>
      </c>
      <c r="E62" s="12">
        <v>30</v>
      </c>
      <c r="F62" s="12">
        <v>23</v>
      </c>
      <c r="G62" s="12">
        <v>16</v>
      </c>
    </row>
    <row r="63" spans="1:7" ht="14.4" x14ac:dyDescent="0.3">
      <c r="A63" s="12" t="s">
        <v>499</v>
      </c>
      <c r="B63" s="12" t="s">
        <v>554</v>
      </c>
      <c r="C63" s="12" t="s">
        <v>513</v>
      </c>
      <c r="D63" s="12" t="s">
        <v>474</v>
      </c>
      <c r="E63" s="12">
        <v>87</v>
      </c>
      <c r="F63" s="12">
        <v>59</v>
      </c>
      <c r="G63" s="12">
        <v>39</v>
      </c>
    </row>
    <row r="64" spans="1:7" ht="14.4" x14ac:dyDescent="0.3">
      <c r="A64" s="12" t="s">
        <v>499</v>
      </c>
      <c r="B64" s="12" t="s">
        <v>504</v>
      </c>
      <c r="C64" s="12" t="s">
        <v>505</v>
      </c>
      <c r="D64" s="12" t="s">
        <v>474</v>
      </c>
      <c r="E64" s="12">
        <v>21</v>
      </c>
      <c r="F64" s="12">
        <v>18</v>
      </c>
      <c r="G64" s="12">
        <v>13</v>
      </c>
    </row>
    <row r="65" spans="1:7" ht="14.4" x14ac:dyDescent="0.3">
      <c r="A65" s="12" t="s">
        <v>499</v>
      </c>
      <c r="B65" s="12" t="s">
        <v>581</v>
      </c>
      <c r="C65" s="12" t="s">
        <v>505</v>
      </c>
      <c r="D65" s="12" t="s">
        <v>474</v>
      </c>
      <c r="E65" s="12">
        <v>127</v>
      </c>
      <c r="F65" s="12">
        <v>88</v>
      </c>
      <c r="G65" s="12"/>
    </row>
    <row r="66" spans="1:7" ht="14.4" x14ac:dyDescent="0.3">
      <c r="A66" s="12" t="s">
        <v>499</v>
      </c>
      <c r="B66" s="12" t="s">
        <v>502</v>
      </c>
      <c r="C66" s="12" t="s">
        <v>503</v>
      </c>
      <c r="D66" s="12" t="s">
        <v>474</v>
      </c>
      <c r="E66" s="12">
        <v>20</v>
      </c>
      <c r="F66" s="12">
        <v>17</v>
      </c>
      <c r="G66" s="12"/>
    </row>
    <row r="67" spans="1:7" ht="14.4" x14ac:dyDescent="0.3">
      <c r="A67" s="12" t="s">
        <v>499</v>
      </c>
      <c r="B67" s="12" t="s">
        <v>553</v>
      </c>
      <c r="C67" s="12" t="s">
        <v>503</v>
      </c>
      <c r="D67" s="12" t="s">
        <v>474</v>
      </c>
      <c r="E67" s="12">
        <v>85</v>
      </c>
      <c r="F67" s="12">
        <v>58</v>
      </c>
      <c r="G67" s="12">
        <v>38</v>
      </c>
    </row>
    <row r="68" spans="1:7" ht="14.4" x14ac:dyDescent="0.3">
      <c r="A68" s="12" t="s">
        <v>499</v>
      </c>
      <c r="B68" s="12" t="s">
        <v>508</v>
      </c>
      <c r="C68" s="12" t="s">
        <v>509</v>
      </c>
      <c r="D68" s="12" t="s">
        <v>474</v>
      </c>
      <c r="E68" s="12">
        <v>25</v>
      </c>
      <c r="F68" s="12">
        <v>20</v>
      </c>
      <c r="G68" s="12"/>
    </row>
    <row r="69" spans="1:7" ht="14.4" x14ac:dyDescent="0.3">
      <c r="A69" s="12" t="s">
        <v>499</v>
      </c>
      <c r="B69" s="12" t="s">
        <v>492</v>
      </c>
      <c r="C69" s="12" t="s">
        <v>509</v>
      </c>
      <c r="D69" s="12" t="s">
        <v>474</v>
      </c>
      <c r="E69" s="12">
        <v>83</v>
      </c>
      <c r="F69" s="12">
        <v>57</v>
      </c>
      <c r="G69" s="12">
        <v>37</v>
      </c>
    </row>
    <row r="70" spans="1:7" ht="14.4" x14ac:dyDescent="0.3">
      <c r="A70" s="12" t="s">
        <v>499</v>
      </c>
      <c r="B70" s="12" t="s">
        <v>506</v>
      </c>
      <c r="C70" s="12" t="s">
        <v>507</v>
      </c>
      <c r="D70" s="12" t="s">
        <v>474</v>
      </c>
      <c r="E70" s="12">
        <v>23</v>
      </c>
      <c r="F70" s="12">
        <v>19</v>
      </c>
      <c r="G70" s="12"/>
    </row>
    <row r="71" spans="1:7" ht="14.4" x14ac:dyDescent="0.3">
      <c r="A71" s="12" t="s">
        <v>499</v>
      </c>
      <c r="B71" s="12" t="s">
        <v>562</v>
      </c>
      <c r="C71" s="12" t="s">
        <v>507</v>
      </c>
      <c r="D71" s="12" t="s">
        <v>474</v>
      </c>
      <c r="E71" s="12">
        <v>100</v>
      </c>
      <c r="F71" s="12">
        <v>69</v>
      </c>
      <c r="G71" s="12">
        <v>44</v>
      </c>
    </row>
    <row r="72" spans="1:7" ht="14.4" x14ac:dyDescent="0.3">
      <c r="A72" s="12" t="s">
        <v>499</v>
      </c>
      <c r="B72" s="12" t="s">
        <v>543</v>
      </c>
      <c r="C72" s="12" t="s">
        <v>544</v>
      </c>
      <c r="D72" s="12" t="s">
        <v>474</v>
      </c>
      <c r="E72" s="12">
        <v>68</v>
      </c>
      <c r="F72" s="12">
        <v>48</v>
      </c>
      <c r="G72" s="12">
        <v>32</v>
      </c>
    </row>
    <row r="73" spans="1:7" ht="14.4" x14ac:dyDescent="0.3">
      <c r="A73" s="12" t="s">
        <v>499</v>
      </c>
      <c r="B73" s="12" t="s">
        <v>466</v>
      </c>
      <c r="C73" s="12" t="s">
        <v>544</v>
      </c>
      <c r="D73" s="12" t="s">
        <v>474</v>
      </c>
      <c r="E73" s="12">
        <v>140</v>
      </c>
      <c r="F73" s="12">
        <v>96</v>
      </c>
      <c r="G73" s="12">
        <v>62</v>
      </c>
    </row>
    <row r="74" spans="1:7" ht="14.4" x14ac:dyDescent="0.3">
      <c r="A74" s="12" t="s">
        <v>499</v>
      </c>
      <c r="B74" s="12" t="s">
        <v>541</v>
      </c>
      <c r="C74" s="12" t="s">
        <v>542</v>
      </c>
      <c r="D74" s="12" t="s">
        <v>474</v>
      </c>
      <c r="E74" s="12">
        <v>63</v>
      </c>
      <c r="F74" s="12">
        <v>47</v>
      </c>
      <c r="G74" s="12">
        <v>31</v>
      </c>
    </row>
    <row r="75" spans="1:7" ht="14.4" x14ac:dyDescent="0.3">
      <c r="A75" s="12" t="s">
        <v>499</v>
      </c>
      <c r="B75" s="12" t="s">
        <v>575</v>
      </c>
      <c r="C75" s="12" t="s">
        <v>542</v>
      </c>
      <c r="D75" s="12" t="s">
        <v>474</v>
      </c>
      <c r="E75" s="12">
        <v>113</v>
      </c>
      <c r="F75" s="12">
        <v>78</v>
      </c>
      <c r="G75" s="12">
        <v>49</v>
      </c>
    </row>
    <row r="76" spans="1:7" ht="14.4" x14ac:dyDescent="0.3">
      <c r="A76" s="12" t="s">
        <v>499</v>
      </c>
      <c r="B76" s="12" t="s">
        <v>539</v>
      </c>
      <c r="C76" s="12" t="s">
        <v>540</v>
      </c>
      <c r="D76" s="12" t="s">
        <v>474</v>
      </c>
      <c r="E76" s="12">
        <v>61</v>
      </c>
      <c r="F76" s="12">
        <v>46</v>
      </c>
      <c r="G76" s="12">
        <v>30</v>
      </c>
    </row>
    <row r="77" spans="1:7" ht="14.4" x14ac:dyDescent="0.3">
      <c r="A77" s="12" t="s">
        <v>499</v>
      </c>
      <c r="B77" s="12" t="s">
        <v>578</v>
      </c>
      <c r="C77" s="12" t="s">
        <v>540</v>
      </c>
      <c r="D77" s="12" t="s">
        <v>474</v>
      </c>
      <c r="E77" s="12">
        <v>120</v>
      </c>
      <c r="F77" s="12">
        <v>83</v>
      </c>
      <c r="G77" s="12"/>
    </row>
    <row r="78" spans="1:7" ht="14.4" x14ac:dyDescent="0.3">
      <c r="A78" s="12" t="s">
        <v>499</v>
      </c>
      <c r="B78" s="12" t="s">
        <v>537</v>
      </c>
      <c r="C78" s="12" t="s">
        <v>538</v>
      </c>
      <c r="D78" s="12" t="s">
        <v>474</v>
      </c>
      <c r="E78" s="12">
        <v>59</v>
      </c>
      <c r="F78" s="12">
        <v>45</v>
      </c>
      <c r="G78" s="12">
        <v>29</v>
      </c>
    </row>
    <row r="79" spans="1:7" ht="14.4" x14ac:dyDescent="0.3">
      <c r="A79" s="12" t="s">
        <v>499</v>
      </c>
      <c r="B79" s="12" t="s">
        <v>577</v>
      </c>
      <c r="C79" s="12" t="s">
        <v>538</v>
      </c>
      <c r="D79" s="12" t="s">
        <v>474</v>
      </c>
      <c r="E79" s="12">
        <v>119</v>
      </c>
      <c r="F79" s="12">
        <v>82</v>
      </c>
      <c r="G79" s="12"/>
    </row>
    <row r="80" spans="1:7" ht="14.4" x14ac:dyDescent="0.3">
      <c r="A80" s="12" t="s">
        <v>499</v>
      </c>
      <c r="B80" s="12" t="s">
        <v>461</v>
      </c>
      <c r="C80" s="12" t="s">
        <v>588</v>
      </c>
      <c r="D80" s="12" t="s">
        <v>474</v>
      </c>
      <c r="E80" s="12">
        <v>136</v>
      </c>
      <c r="F80" s="12">
        <v>92</v>
      </c>
      <c r="G80" s="12">
        <v>58</v>
      </c>
    </row>
    <row r="81" spans="1:7" ht="14.4" x14ac:dyDescent="0.3">
      <c r="A81" s="12" t="s">
        <v>499</v>
      </c>
      <c r="B81" s="12" t="s">
        <v>614</v>
      </c>
      <c r="C81" s="12" t="s">
        <v>588</v>
      </c>
      <c r="D81" s="12" t="s">
        <v>483</v>
      </c>
      <c r="E81" s="12">
        <v>55</v>
      </c>
      <c r="F81" s="12">
        <v>42</v>
      </c>
      <c r="G81" s="12"/>
    </row>
    <row r="82" spans="1:7" ht="14.4" x14ac:dyDescent="0.3">
      <c r="A82" s="12" t="s">
        <v>499</v>
      </c>
      <c r="B82" s="12" t="s">
        <v>586</v>
      </c>
      <c r="C82" s="12" t="s">
        <v>587</v>
      </c>
      <c r="D82" s="12" t="s">
        <v>474</v>
      </c>
      <c r="E82" s="12">
        <v>135</v>
      </c>
      <c r="F82" s="12">
        <v>91</v>
      </c>
      <c r="G82" s="12">
        <v>57</v>
      </c>
    </row>
    <row r="83" spans="1:7" ht="14.4" x14ac:dyDescent="0.3">
      <c r="A83" s="12" t="s">
        <v>499</v>
      </c>
      <c r="B83" s="12" t="s">
        <v>613</v>
      </c>
      <c r="C83" s="12" t="s">
        <v>587</v>
      </c>
      <c r="D83" s="12" t="s">
        <v>483</v>
      </c>
      <c r="E83" s="12">
        <v>54</v>
      </c>
      <c r="F83" s="12">
        <v>41</v>
      </c>
      <c r="G83" s="12"/>
    </row>
    <row r="84" spans="1:7" ht="14.4" x14ac:dyDescent="0.3">
      <c r="A84" s="12" t="s">
        <v>499</v>
      </c>
      <c r="B84" s="12" t="s">
        <v>584</v>
      </c>
      <c r="C84" s="12" t="s">
        <v>585</v>
      </c>
      <c r="D84" s="12" t="s">
        <v>474</v>
      </c>
      <c r="E84" s="12">
        <v>134</v>
      </c>
      <c r="F84" s="12">
        <v>90</v>
      </c>
      <c r="G84" s="12">
        <v>56</v>
      </c>
    </row>
    <row r="85" spans="1:7" ht="14.4" x14ac:dyDescent="0.3">
      <c r="A85" s="12" t="s">
        <v>499</v>
      </c>
      <c r="B85" s="12" t="s">
        <v>532</v>
      </c>
      <c r="C85" s="12" t="s">
        <v>585</v>
      </c>
      <c r="D85" s="12" t="s">
        <v>483</v>
      </c>
      <c r="E85" s="12">
        <v>53</v>
      </c>
      <c r="F85" s="12">
        <v>40</v>
      </c>
      <c r="G85" s="12">
        <v>26</v>
      </c>
    </row>
    <row r="86" spans="1:7" ht="14.4" x14ac:dyDescent="0.3">
      <c r="A86" s="12" t="s">
        <v>499</v>
      </c>
      <c r="B86" s="12" t="s">
        <v>582</v>
      </c>
      <c r="C86" s="12" t="s">
        <v>583</v>
      </c>
      <c r="D86" s="12" t="s">
        <v>474</v>
      </c>
      <c r="E86" s="12">
        <v>130</v>
      </c>
      <c r="F86" s="12">
        <v>89</v>
      </c>
      <c r="G86" s="12">
        <v>55</v>
      </c>
    </row>
    <row r="87" spans="1:7" ht="14.4" x14ac:dyDescent="0.3">
      <c r="A87" s="12" t="s">
        <v>499</v>
      </c>
      <c r="B87" s="12" t="s">
        <v>531</v>
      </c>
      <c r="C87" s="12" t="s">
        <v>583</v>
      </c>
      <c r="D87" s="12" t="s">
        <v>483</v>
      </c>
      <c r="E87" s="12">
        <v>52</v>
      </c>
      <c r="F87" s="12">
        <v>39</v>
      </c>
      <c r="G87" s="12">
        <v>25</v>
      </c>
    </row>
    <row r="88" spans="1:7" ht="14.4" x14ac:dyDescent="0.3">
      <c r="A88" s="12" t="s">
        <v>499</v>
      </c>
      <c r="B88" s="12" t="s">
        <v>598</v>
      </c>
      <c r="C88" s="12" t="s">
        <v>599</v>
      </c>
      <c r="D88" s="12" t="s">
        <v>591</v>
      </c>
      <c r="E88" s="12">
        <v>81</v>
      </c>
      <c r="F88" s="12">
        <v>56</v>
      </c>
      <c r="G88" s="12">
        <v>36</v>
      </c>
    </row>
    <row r="89" spans="1:7" ht="14.4" x14ac:dyDescent="0.3">
      <c r="A89" s="12" t="s">
        <v>499</v>
      </c>
      <c r="B89" s="12" t="s">
        <v>581</v>
      </c>
      <c r="C89" s="12" t="s">
        <v>599</v>
      </c>
      <c r="D89" s="12" t="s">
        <v>483</v>
      </c>
      <c r="E89" s="12">
        <v>127</v>
      </c>
      <c r="F89" s="12">
        <v>88</v>
      </c>
      <c r="G89" s="12"/>
    </row>
    <row r="90" spans="1:7" ht="14.4" x14ac:dyDescent="0.3">
      <c r="A90" s="12" t="s">
        <v>499</v>
      </c>
      <c r="B90" s="12" t="s">
        <v>596</v>
      </c>
      <c r="C90" s="12" t="s">
        <v>597</v>
      </c>
      <c r="D90" s="12" t="s">
        <v>591</v>
      </c>
      <c r="E90" s="12">
        <v>80</v>
      </c>
      <c r="F90" s="12">
        <v>55</v>
      </c>
      <c r="G90" s="12">
        <v>35</v>
      </c>
    </row>
    <row r="91" spans="1:7" ht="14.4" x14ac:dyDescent="0.3">
      <c r="A91" s="12" t="s">
        <v>499</v>
      </c>
      <c r="B91" s="12" t="s">
        <v>626</v>
      </c>
      <c r="C91" s="12" t="s">
        <v>597</v>
      </c>
      <c r="D91" s="12" t="s">
        <v>483</v>
      </c>
      <c r="E91" s="12">
        <v>137</v>
      </c>
      <c r="F91" s="12">
        <v>93</v>
      </c>
      <c r="G91" s="12">
        <v>59</v>
      </c>
    </row>
    <row r="92" spans="1:7" ht="14.4" x14ac:dyDescent="0.3">
      <c r="A92" s="12" t="s">
        <v>499</v>
      </c>
      <c r="B92" s="12" t="s">
        <v>535</v>
      </c>
      <c r="C92" s="12" t="s">
        <v>536</v>
      </c>
      <c r="D92" s="12" t="s">
        <v>474</v>
      </c>
      <c r="E92" s="12">
        <v>57</v>
      </c>
      <c r="F92" s="12">
        <v>44</v>
      </c>
      <c r="G92" s="12">
        <v>28</v>
      </c>
    </row>
    <row r="93" spans="1:7" ht="14.4" x14ac:dyDescent="0.3">
      <c r="A93" s="12" t="s">
        <v>499</v>
      </c>
      <c r="B93" s="12" t="s">
        <v>627</v>
      </c>
      <c r="C93" s="12" t="s">
        <v>536</v>
      </c>
      <c r="D93" s="12" t="s">
        <v>483</v>
      </c>
      <c r="E93" s="12">
        <v>138</v>
      </c>
      <c r="F93" s="12">
        <v>94</v>
      </c>
      <c r="G93" s="12">
        <v>60</v>
      </c>
    </row>
    <row r="94" spans="1:7" ht="14.4" x14ac:dyDescent="0.3">
      <c r="A94" s="12" t="s">
        <v>499</v>
      </c>
      <c r="B94" s="12" t="s">
        <v>533</v>
      </c>
      <c r="C94" s="12" t="s">
        <v>534</v>
      </c>
      <c r="D94" s="12" t="s">
        <v>474</v>
      </c>
      <c r="E94" s="12">
        <v>56</v>
      </c>
      <c r="F94" s="12">
        <v>43</v>
      </c>
      <c r="G94" s="12">
        <v>27</v>
      </c>
    </row>
    <row r="95" spans="1:7" ht="14.4" x14ac:dyDescent="0.3">
      <c r="A95" s="12" t="s">
        <v>499</v>
      </c>
      <c r="B95" s="12" t="s">
        <v>624</v>
      </c>
      <c r="C95" s="12" t="s">
        <v>534</v>
      </c>
      <c r="D95" s="12" t="s">
        <v>483</v>
      </c>
      <c r="E95" s="12">
        <v>143</v>
      </c>
      <c r="F95" s="12">
        <v>99</v>
      </c>
      <c r="G95" s="12"/>
    </row>
    <row r="96" spans="1:7" ht="14.4" x14ac:dyDescent="0.3">
      <c r="A96" s="12" t="s">
        <v>499</v>
      </c>
      <c r="B96" s="12" t="s">
        <v>541</v>
      </c>
      <c r="C96" s="12" t="s">
        <v>615</v>
      </c>
      <c r="D96" s="12" t="s">
        <v>476</v>
      </c>
      <c r="E96" s="12">
        <v>63</v>
      </c>
      <c r="F96" s="12">
        <v>47</v>
      </c>
      <c r="G96" s="12">
        <v>31</v>
      </c>
    </row>
    <row r="97" spans="1:7" ht="14.4" x14ac:dyDescent="0.3">
      <c r="A97" s="12" t="s">
        <v>499</v>
      </c>
      <c r="B97" s="12" t="s">
        <v>575</v>
      </c>
      <c r="C97" s="12" t="s">
        <v>615</v>
      </c>
      <c r="D97" s="12" t="s">
        <v>450</v>
      </c>
      <c r="E97" s="12">
        <v>113</v>
      </c>
      <c r="F97" s="12">
        <v>78</v>
      </c>
      <c r="G97" s="12">
        <v>49</v>
      </c>
    </row>
    <row r="98" spans="1:7" ht="14.4" x14ac:dyDescent="0.3">
      <c r="A98" s="12" t="s">
        <v>499</v>
      </c>
      <c r="B98" s="12" t="s">
        <v>617</v>
      </c>
      <c r="C98" s="12" t="s">
        <v>615</v>
      </c>
      <c r="D98" s="12" t="s">
        <v>483</v>
      </c>
      <c r="E98" s="12">
        <v>117</v>
      </c>
      <c r="F98" s="12">
        <v>80</v>
      </c>
      <c r="G98" s="12">
        <v>51</v>
      </c>
    </row>
    <row r="99" spans="1:7" ht="14.4" x14ac:dyDescent="0.3">
      <c r="A99" s="12" t="s">
        <v>499</v>
      </c>
      <c r="B99" s="12" t="s">
        <v>543</v>
      </c>
      <c r="C99" s="12" t="s">
        <v>616</v>
      </c>
      <c r="D99" s="12" t="s">
        <v>476</v>
      </c>
      <c r="E99" s="12">
        <v>68</v>
      </c>
      <c r="F99" s="12">
        <v>48</v>
      </c>
      <c r="G99" s="12">
        <v>32</v>
      </c>
    </row>
    <row r="100" spans="1:7" ht="14.4" x14ac:dyDescent="0.3">
      <c r="A100" s="12" t="s">
        <v>499</v>
      </c>
      <c r="B100" s="12" t="s">
        <v>618</v>
      </c>
      <c r="C100" s="12" t="s">
        <v>616</v>
      </c>
      <c r="D100" s="12" t="s">
        <v>483</v>
      </c>
      <c r="E100" s="12">
        <v>118</v>
      </c>
      <c r="F100" s="12">
        <v>81</v>
      </c>
      <c r="G100" s="12">
        <v>52</v>
      </c>
    </row>
    <row r="101" spans="1:7" ht="14.4" x14ac:dyDescent="0.3">
      <c r="A101" s="12" t="s">
        <v>499</v>
      </c>
      <c r="B101" s="12" t="s">
        <v>466</v>
      </c>
      <c r="C101" s="12" t="s">
        <v>616</v>
      </c>
      <c r="D101" s="12" t="s">
        <v>483</v>
      </c>
      <c r="E101" s="12">
        <v>140</v>
      </c>
      <c r="F101" s="12">
        <v>96</v>
      </c>
      <c r="G101" s="12">
        <v>62</v>
      </c>
    </row>
    <row r="102" spans="1:7" ht="14.4" x14ac:dyDescent="0.3">
      <c r="A102" s="12" t="s">
        <v>499</v>
      </c>
      <c r="B102" s="12" t="s">
        <v>479</v>
      </c>
      <c r="C102" s="12" t="s">
        <v>530</v>
      </c>
      <c r="D102" s="12" t="s">
        <v>474</v>
      </c>
      <c r="E102" s="12">
        <v>49</v>
      </c>
      <c r="F102" s="12">
        <v>36</v>
      </c>
      <c r="G102" s="12"/>
    </row>
    <row r="103" spans="1:7" ht="14.4" x14ac:dyDescent="0.3">
      <c r="A103" s="12" t="s">
        <v>499</v>
      </c>
      <c r="B103" s="12" t="s">
        <v>464</v>
      </c>
      <c r="C103" s="12" t="s">
        <v>530</v>
      </c>
      <c r="D103" s="12" t="s">
        <v>474</v>
      </c>
      <c r="E103" s="12">
        <v>139</v>
      </c>
      <c r="F103" s="12">
        <v>95</v>
      </c>
      <c r="G103" s="12">
        <v>61</v>
      </c>
    </row>
    <row r="104" spans="1:7" ht="14.4" x14ac:dyDescent="0.3">
      <c r="A104" s="12" t="s">
        <v>499</v>
      </c>
      <c r="B104" s="12" t="s">
        <v>500</v>
      </c>
      <c r="C104" s="12" t="s">
        <v>530</v>
      </c>
      <c r="D104" s="12" t="s">
        <v>476</v>
      </c>
      <c r="E104" s="12">
        <v>4</v>
      </c>
      <c r="F104" s="12">
        <v>4</v>
      </c>
      <c r="G104" s="12">
        <v>2</v>
      </c>
    </row>
    <row r="105" spans="1:7" ht="14.4" x14ac:dyDescent="0.3">
      <c r="A105" s="12" t="s">
        <v>499</v>
      </c>
      <c r="B105" s="12" t="s">
        <v>535</v>
      </c>
      <c r="C105" s="12" t="s">
        <v>530</v>
      </c>
      <c r="D105" s="12" t="s">
        <v>450</v>
      </c>
      <c r="E105" s="12">
        <v>57</v>
      </c>
      <c r="F105" s="12">
        <v>44</v>
      </c>
      <c r="G105" s="12">
        <v>28</v>
      </c>
    </row>
    <row r="106" spans="1:7" ht="14.4" x14ac:dyDescent="0.3">
      <c r="A106" s="12" t="s">
        <v>499</v>
      </c>
      <c r="B106" s="12" t="s">
        <v>477</v>
      </c>
      <c r="C106" s="12" t="s">
        <v>529</v>
      </c>
      <c r="D106" s="12" t="s">
        <v>474</v>
      </c>
      <c r="E106" s="12">
        <v>48</v>
      </c>
      <c r="F106" s="12">
        <v>35</v>
      </c>
      <c r="G106" s="12"/>
    </row>
    <row r="107" spans="1:7" ht="14.4" x14ac:dyDescent="0.3">
      <c r="A107" s="12" t="s">
        <v>499</v>
      </c>
      <c r="B107" s="12" t="s">
        <v>576</v>
      </c>
      <c r="C107" s="12" t="s">
        <v>529</v>
      </c>
      <c r="D107" s="12" t="s">
        <v>474</v>
      </c>
      <c r="E107" s="12">
        <v>115</v>
      </c>
      <c r="F107" s="12">
        <v>79</v>
      </c>
      <c r="G107" s="12">
        <v>50</v>
      </c>
    </row>
    <row r="108" spans="1:7" ht="14.4" x14ac:dyDescent="0.3">
      <c r="A108" s="12" t="s">
        <v>499</v>
      </c>
      <c r="B108" s="12" t="s">
        <v>533</v>
      </c>
      <c r="C108" s="12" t="s">
        <v>529</v>
      </c>
      <c r="D108" s="12" t="s">
        <v>450</v>
      </c>
      <c r="E108" s="12">
        <v>56</v>
      </c>
      <c r="F108" s="12">
        <v>43</v>
      </c>
      <c r="G108" s="12">
        <v>27</v>
      </c>
    </row>
    <row r="109" spans="1:7" ht="14.4" x14ac:dyDescent="0.3">
      <c r="A109" s="12" t="s">
        <v>499</v>
      </c>
      <c r="B109" s="12" t="s">
        <v>475</v>
      </c>
      <c r="C109" s="12" t="s">
        <v>528</v>
      </c>
      <c r="D109" s="12" t="s">
        <v>474</v>
      </c>
      <c r="E109" s="12">
        <v>47</v>
      </c>
      <c r="F109" s="12">
        <v>34</v>
      </c>
      <c r="G109" s="12"/>
    </row>
    <row r="110" spans="1:7" ht="14.4" x14ac:dyDescent="0.3">
      <c r="A110" s="12" t="s">
        <v>499</v>
      </c>
      <c r="B110" s="12" t="s">
        <v>472</v>
      </c>
      <c r="C110" s="12" t="s">
        <v>528</v>
      </c>
      <c r="D110" s="12" t="s">
        <v>476</v>
      </c>
      <c r="E110" s="12">
        <v>9</v>
      </c>
      <c r="F110" s="12">
        <v>9</v>
      </c>
      <c r="G110" s="12">
        <v>6</v>
      </c>
    </row>
    <row r="111" spans="1:7" ht="14.4" x14ac:dyDescent="0.3">
      <c r="A111" s="12" t="s">
        <v>499</v>
      </c>
      <c r="B111" s="12" t="s">
        <v>508</v>
      </c>
      <c r="C111" s="12" t="s">
        <v>528</v>
      </c>
      <c r="D111" s="12" t="s">
        <v>463</v>
      </c>
      <c r="E111" s="12">
        <v>25</v>
      </c>
      <c r="F111" s="12">
        <v>20</v>
      </c>
      <c r="G111" s="12"/>
    </row>
    <row r="112" spans="1:7" ht="14.4" x14ac:dyDescent="0.3">
      <c r="A112" s="12" t="s">
        <v>499</v>
      </c>
      <c r="B112" s="12" t="s">
        <v>526</v>
      </c>
      <c r="C112" s="12" t="s">
        <v>527</v>
      </c>
      <c r="D112" s="12" t="s">
        <v>474</v>
      </c>
      <c r="E112" s="12">
        <v>46</v>
      </c>
      <c r="F112" s="12">
        <v>33</v>
      </c>
      <c r="G112" s="12">
        <v>24</v>
      </c>
    </row>
    <row r="113" spans="1:7" ht="14.4" x14ac:dyDescent="0.3">
      <c r="A113" s="12" t="s">
        <v>499</v>
      </c>
      <c r="B113" s="12" t="s">
        <v>589</v>
      </c>
      <c r="C113" s="12" t="s">
        <v>527</v>
      </c>
      <c r="D113" s="12" t="s">
        <v>476</v>
      </c>
      <c r="E113" s="12">
        <v>8</v>
      </c>
      <c r="F113" s="12">
        <v>8</v>
      </c>
      <c r="G113" s="12">
        <v>5</v>
      </c>
    </row>
    <row r="114" spans="1:7" ht="14.4" x14ac:dyDescent="0.3">
      <c r="A114" s="12" t="s">
        <v>499</v>
      </c>
      <c r="B114" s="12" t="s">
        <v>516</v>
      </c>
      <c r="C114" s="12" t="s">
        <v>517</v>
      </c>
      <c r="D114" s="12" t="s">
        <v>474</v>
      </c>
      <c r="E114" s="12">
        <v>35</v>
      </c>
      <c r="F114" s="12">
        <v>25</v>
      </c>
      <c r="G114" s="12"/>
    </row>
    <row r="115" spans="1:7" ht="14.4" x14ac:dyDescent="0.3">
      <c r="A115" s="12" t="s">
        <v>499</v>
      </c>
      <c r="B115" s="12" t="s">
        <v>607</v>
      </c>
      <c r="C115" s="12" t="s">
        <v>517</v>
      </c>
      <c r="D115" s="12" t="s">
        <v>476</v>
      </c>
      <c r="E115" s="12">
        <v>6</v>
      </c>
      <c r="F115" s="12">
        <v>6</v>
      </c>
      <c r="G115" s="12">
        <v>4</v>
      </c>
    </row>
    <row r="116" spans="1:7" ht="14.4" x14ac:dyDescent="0.3">
      <c r="A116" s="12" t="s">
        <v>499</v>
      </c>
      <c r="B116" s="12" t="s">
        <v>514</v>
      </c>
      <c r="C116" s="12" t="s">
        <v>515</v>
      </c>
      <c r="D116" s="12" t="s">
        <v>474</v>
      </c>
      <c r="E116" s="12">
        <v>34</v>
      </c>
      <c r="F116" s="12">
        <v>24</v>
      </c>
      <c r="G116" s="12"/>
    </row>
    <row r="117" spans="1:7" ht="14.4" x14ac:dyDescent="0.3">
      <c r="A117" s="12" t="s">
        <v>499</v>
      </c>
      <c r="B117" s="12" t="s">
        <v>481</v>
      </c>
      <c r="C117" s="12" t="s">
        <v>515</v>
      </c>
      <c r="D117" s="12" t="s">
        <v>476</v>
      </c>
      <c r="E117" s="12">
        <v>5</v>
      </c>
      <c r="F117" s="12">
        <v>5</v>
      </c>
      <c r="G117" s="12">
        <v>3</v>
      </c>
    </row>
    <row r="118" spans="1:7" ht="14.4" x14ac:dyDescent="0.3">
      <c r="A118" s="12" t="s">
        <v>499</v>
      </c>
      <c r="B118" s="12" t="s">
        <v>579</v>
      </c>
      <c r="C118" s="12" t="s">
        <v>580</v>
      </c>
      <c r="D118" s="12" t="s">
        <v>474</v>
      </c>
      <c r="E118" s="12">
        <v>125</v>
      </c>
      <c r="F118" s="12"/>
      <c r="G118" s="12"/>
    </row>
    <row r="119" spans="1:7" ht="14.4" x14ac:dyDescent="0.3">
      <c r="A119" s="12" t="s">
        <v>499</v>
      </c>
      <c r="B119" s="12" t="s">
        <v>547</v>
      </c>
      <c r="C119" s="12" t="s">
        <v>580</v>
      </c>
      <c r="D119" s="12" t="s">
        <v>591</v>
      </c>
      <c r="E119" s="12">
        <v>71</v>
      </c>
      <c r="F119" s="12">
        <v>50</v>
      </c>
      <c r="G119" s="12"/>
    </row>
    <row r="120" spans="1:7" ht="14.4" x14ac:dyDescent="0.3">
      <c r="A120" s="12" t="s">
        <v>499</v>
      </c>
      <c r="B120" s="12" t="s">
        <v>606</v>
      </c>
      <c r="C120" s="12" t="s">
        <v>580</v>
      </c>
      <c r="D120" s="12" t="s">
        <v>476</v>
      </c>
      <c r="E120" s="12">
        <v>2</v>
      </c>
      <c r="F120" s="12">
        <v>2</v>
      </c>
      <c r="G120" s="12"/>
    </row>
    <row r="121" spans="1:7" ht="14.4" x14ac:dyDescent="0.3">
      <c r="A121" s="12" t="s">
        <v>499</v>
      </c>
      <c r="B121" s="12" t="s">
        <v>545</v>
      </c>
      <c r="C121" s="12" t="s">
        <v>594</v>
      </c>
      <c r="D121" s="12" t="s">
        <v>591</v>
      </c>
      <c r="E121" s="12">
        <v>70</v>
      </c>
      <c r="F121" s="12">
        <v>49</v>
      </c>
      <c r="G121" s="12"/>
    </row>
    <row r="122" spans="1:7" ht="14.4" x14ac:dyDescent="0.3">
      <c r="A122" s="12" t="s">
        <v>499</v>
      </c>
      <c r="B122" s="12" t="s">
        <v>605</v>
      </c>
      <c r="C122" s="12" t="s">
        <v>594</v>
      </c>
      <c r="D122" s="12" t="s">
        <v>476</v>
      </c>
      <c r="E122" s="12">
        <v>1</v>
      </c>
      <c r="F122" s="12">
        <v>1</v>
      </c>
      <c r="G122" s="12"/>
    </row>
    <row r="123" spans="1:7" ht="14.4" x14ac:dyDescent="0.3">
      <c r="A123" s="12" t="s">
        <v>499</v>
      </c>
      <c r="B123" s="12" t="s">
        <v>608</v>
      </c>
      <c r="C123" s="12" t="s">
        <v>609</v>
      </c>
      <c r="D123" s="12" t="s">
        <v>476</v>
      </c>
      <c r="E123" s="12">
        <v>7</v>
      </c>
      <c r="F123" s="12">
        <v>7</v>
      </c>
      <c r="G123" s="12"/>
    </row>
    <row r="124" spans="1:7" ht="14.4" x14ac:dyDescent="0.3">
      <c r="A124" s="12" t="s">
        <v>499</v>
      </c>
      <c r="B124" s="12" t="s">
        <v>504</v>
      </c>
      <c r="C124" s="12" t="s">
        <v>609</v>
      </c>
      <c r="D124" s="12" t="s">
        <v>476</v>
      </c>
      <c r="E124" s="12">
        <v>21</v>
      </c>
      <c r="F124" s="12">
        <v>18</v>
      </c>
      <c r="G124" s="12">
        <v>13</v>
      </c>
    </row>
    <row r="125" spans="1:7" ht="14.4" x14ac:dyDescent="0.3">
      <c r="A125" s="12" t="s">
        <v>499</v>
      </c>
      <c r="B125" s="12" t="s">
        <v>502</v>
      </c>
      <c r="C125" s="12" t="s">
        <v>610</v>
      </c>
      <c r="D125" s="12" t="s">
        <v>476</v>
      </c>
      <c r="E125" s="12">
        <v>20</v>
      </c>
      <c r="F125" s="12">
        <v>17</v>
      </c>
      <c r="G125" s="12"/>
    </row>
    <row r="126" spans="1:7" ht="14.4" x14ac:dyDescent="0.3">
      <c r="A126" s="12" t="s">
        <v>499</v>
      </c>
      <c r="B126" s="12" t="s">
        <v>526</v>
      </c>
      <c r="C126" s="12" t="s">
        <v>610</v>
      </c>
      <c r="D126" s="12" t="s">
        <v>476</v>
      </c>
      <c r="E126" s="12">
        <v>46</v>
      </c>
      <c r="F126" s="12">
        <v>33</v>
      </c>
      <c r="G126" s="12">
        <v>24</v>
      </c>
    </row>
    <row r="127" spans="1:7" ht="14.4" x14ac:dyDescent="0.3">
      <c r="A127" s="12" t="s">
        <v>499</v>
      </c>
      <c r="B127" s="12" t="s">
        <v>593</v>
      </c>
      <c r="C127" s="12" t="s">
        <v>612</v>
      </c>
      <c r="D127" s="12" t="s">
        <v>476</v>
      </c>
      <c r="E127" s="12">
        <v>45</v>
      </c>
      <c r="F127" s="12">
        <v>32</v>
      </c>
      <c r="G127" s="12">
        <v>23</v>
      </c>
    </row>
    <row r="128" spans="1:7" ht="14.4" x14ac:dyDescent="0.3">
      <c r="A128" s="12" t="s">
        <v>499</v>
      </c>
      <c r="B128" s="12" t="s">
        <v>614</v>
      </c>
      <c r="C128" s="12" t="s">
        <v>612</v>
      </c>
      <c r="D128" s="12" t="s">
        <v>476</v>
      </c>
      <c r="E128" s="12">
        <v>55</v>
      </c>
      <c r="F128" s="12">
        <v>42</v>
      </c>
      <c r="G128" s="12"/>
    </row>
    <row r="129" spans="1:7" ht="14.4" x14ac:dyDescent="0.3">
      <c r="A129" s="12" t="s">
        <v>499</v>
      </c>
      <c r="B129" s="12" t="s">
        <v>488</v>
      </c>
      <c r="C129" s="12" t="s">
        <v>611</v>
      </c>
      <c r="D129" s="12" t="s">
        <v>476</v>
      </c>
      <c r="E129" s="12">
        <v>44</v>
      </c>
      <c r="F129" s="12">
        <v>31</v>
      </c>
      <c r="G129" s="12">
        <v>22</v>
      </c>
    </row>
    <row r="130" spans="1:7" ht="14.4" x14ac:dyDescent="0.3">
      <c r="A130" s="12" t="s">
        <v>499</v>
      </c>
      <c r="B130" s="12" t="s">
        <v>613</v>
      </c>
      <c r="C130" s="12" t="s">
        <v>611</v>
      </c>
      <c r="D130" s="12" t="s">
        <v>476</v>
      </c>
      <c r="E130" s="12">
        <v>54</v>
      </c>
      <c r="F130" s="12">
        <v>41</v>
      </c>
      <c r="G130" s="12"/>
    </row>
    <row r="131" spans="1:7" ht="14.4" x14ac:dyDescent="0.3">
      <c r="A131" s="12" t="s">
        <v>499</v>
      </c>
      <c r="B131" s="12" t="s">
        <v>589</v>
      </c>
      <c r="C131" s="12" t="s">
        <v>590</v>
      </c>
      <c r="D131" s="12" t="s">
        <v>591</v>
      </c>
      <c r="E131" s="12">
        <v>8</v>
      </c>
      <c r="F131" s="12">
        <v>8</v>
      </c>
      <c r="G131" s="12">
        <v>5</v>
      </c>
    </row>
    <row r="132" spans="1:7" ht="14.4" x14ac:dyDescent="0.3">
      <c r="A132" s="12" t="s">
        <v>499</v>
      </c>
      <c r="B132" s="12" t="s">
        <v>477</v>
      </c>
      <c r="C132" s="12" t="s">
        <v>590</v>
      </c>
      <c r="D132" s="12" t="s">
        <v>591</v>
      </c>
      <c r="E132" s="12">
        <v>48</v>
      </c>
      <c r="F132" s="12">
        <v>35</v>
      </c>
      <c r="G132" s="12"/>
    </row>
    <row r="133" spans="1:7" ht="14.4" x14ac:dyDescent="0.3">
      <c r="A133" s="12" t="s">
        <v>499</v>
      </c>
      <c r="B133" s="12" t="s">
        <v>576</v>
      </c>
      <c r="C133" s="12" t="s">
        <v>590</v>
      </c>
      <c r="D133" s="12" t="s">
        <v>450</v>
      </c>
      <c r="E133" s="12">
        <v>115</v>
      </c>
      <c r="F133" s="12">
        <v>79</v>
      </c>
      <c r="G133" s="12">
        <v>50</v>
      </c>
    </row>
    <row r="134" spans="1:7" ht="14.4" x14ac:dyDescent="0.3">
      <c r="A134" s="12" t="s">
        <v>499</v>
      </c>
      <c r="B134" s="12" t="s">
        <v>582</v>
      </c>
      <c r="C134" s="12" t="s">
        <v>590</v>
      </c>
      <c r="D134" s="12" t="s">
        <v>483</v>
      </c>
      <c r="E134" s="12">
        <v>130</v>
      </c>
      <c r="F134" s="12">
        <v>89</v>
      </c>
      <c r="G134" s="12">
        <v>55</v>
      </c>
    </row>
    <row r="135" spans="1:7" ht="14.4" x14ac:dyDescent="0.3">
      <c r="A135" s="12" t="s">
        <v>499</v>
      </c>
      <c r="B135" s="12" t="s">
        <v>472</v>
      </c>
      <c r="C135" s="12" t="s">
        <v>592</v>
      </c>
      <c r="D135" s="12" t="s">
        <v>591</v>
      </c>
      <c r="E135" s="12">
        <v>9</v>
      </c>
      <c r="F135" s="12">
        <v>9</v>
      </c>
      <c r="G135" s="12">
        <v>6</v>
      </c>
    </row>
    <row r="136" spans="1:7" ht="14.4" x14ac:dyDescent="0.3">
      <c r="A136" s="12" t="s">
        <v>499</v>
      </c>
      <c r="B136" s="12" t="s">
        <v>479</v>
      </c>
      <c r="C136" s="12" t="s">
        <v>592</v>
      </c>
      <c r="D136" s="12" t="s">
        <v>591</v>
      </c>
      <c r="E136" s="12">
        <v>49</v>
      </c>
      <c r="F136" s="12">
        <v>36</v>
      </c>
      <c r="G136" s="12"/>
    </row>
    <row r="137" spans="1:7" ht="14.4" x14ac:dyDescent="0.3">
      <c r="A137" s="12" t="s">
        <v>499</v>
      </c>
      <c r="B137" s="12" t="s">
        <v>584</v>
      </c>
      <c r="C137" s="12" t="s">
        <v>592</v>
      </c>
      <c r="D137" s="12" t="s">
        <v>483</v>
      </c>
      <c r="E137" s="12">
        <v>134</v>
      </c>
      <c r="F137" s="12">
        <v>90</v>
      </c>
      <c r="G137" s="12">
        <v>56</v>
      </c>
    </row>
    <row r="138" spans="1:7" ht="14.4" x14ac:dyDescent="0.3">
      <c r="A138" s="12" t="s">
        <v>499</v>
      </c>
      <c r="B138" s="12" t="s">
        <v>464</v>
      </c>
      <c r="C138" s="12" t="s">
        <v>592</v>
      </c>
      <c r="D138" s="12" t="s">
        <v>483</v>
      </c>
      <c r="E138" s="12">
        <v>139</v>
      </c>
      <c r="F138" s="12">
        <v>95</v>
      </c>
      <c r="G138" s="12">
        <v>61</v>
      </c>
    </row>
    <row r="139" spans="1:7" ht="14.4" x14ac:dyDescent="0.3">
      <c r="A139" s="12" t="s">
        <v>499</v>
      </c>
      <c r="B139" s="12" t="s">
        <v>567</v>
      </c>
      <c r="C139" s="12" t="s">
        <v>568</v>
      </c>
      <c r="D139" s="12" t="s">
        <v>474</v>
      </c>
      <c r="E139" s="12">
        <v>105</v>
      </c>
      <c r="F139" s="12">
        <v>73</v>
      </c>
      <c r="G139" s="12">
        <v>48</v>
      </c>
    </row>
    <row r="140" spans="1:7" ht="14.4" x14ac:dyDescent="0.3">
      <c r="A140" s="12" t="s">
        <v>499</v>
      </c>
      <c r="B140" s="12" t="s">
        <v>574</v>
      </c>
      <c r="C140" s="12" t="s">
        <v>568</v>
      </c>
      <c r="D140" s="12" t="s">
        <v>474</v>
      </c>
      <c r="E140" s="12">
        <v>111</v>
      </c>
      <c r="F140" s="12">
        <v>77</v>
      </c>
      <c r="G140" s="12"/>
    </row>
    <row r="141" spans="1:7" ht="14.4" x14ac:dyDescent="0.3">
      <c r="A141" s="12" t="s">
        <v>499</v>
      </c>
      <c r="B141" s="12" t="s">
        <v>604</v>
      </c>
      <c r="C141" s="12" t="s">
        <v>568</v>
      </c>
      <c r="D141" s="12" t="s">
        <v>591</v>
      </c>
      <c r="E141" s="12">
        <v>126</v>
      </c>
      <c r="F141" s="12"/>
      <c r="G141" s="12"/>
    </row>
    <row r="142" spans="1:7" ht="14.4" x14ac:dyDescent="0.3">
      <c r="A142" s="12" t="s">
        <v>499</v>
      </c>
      <c r="B142" s="12" t="s">
        <v>551</v>
      </c>
      <c r="C142" s="12" t="s">
        <v>568</v>
      </c>
      <c r="D142" s="12" t="s">
        <v>463</v>
      </c>
      <c r="E142" s="12">
        <v>75</v>
      </c>
      <c r="F142" s="12">
        <v>52</v>
      </c>
      <c r="G142" s="12"/>
    </row>
    <row r="143" spans="1:7" ht="14.4" x14ac:dyDescent="0.3">
      <c r="A143" s="12" t="s">
        <v>499</v>
      </c>
      <c r="B143" s="12" t="s">
        <v>565</v>
      </c>
      <c r="C143" s="12" t="s">
        <v>566</v>
      </c>
      <c r="D143" s="12" t="s">
        <v>474</v>
      </c>
      <c r="E143" s="12">
        <v>104</v>
      </c>
      <c r="F143" s="12">
        <v>72</v>
      </c>
      <c r="G143" s="12">
        <v>47</v>
      </c>
    </row>
    <row r="144" spans="1:7" ht="14.4" x14ac:dyDescent="0.3">
      <c r="A144" s="12" t="s">
        <v>499</v>
      </c>
      <c r="B144" s="12" t="s">
        <v>573</v>
      </c>
      <c r="C144" s="12" t="s">
        <v>566</v>
      </c>
      <c r="D144" s="12" t="s">
        <v>474</v>
      </c>
      <c r="E144" s="12">
        <v>109</v>
      </c>
      <c r="F144" s="12">
        <v>76</v>
      </c>
      <c r="G144" s="12"/>
    </row>
    <row r="145" spans="1:7" ht="14.4" x14ac:dyDescent="0.3">
      <c r="A145" s="12" t="s">
        <v>499</v>
      </c>
      <c r="B145" s="12" t="s">
        <v>619</v>
      </c>
      <c r="C145" s="12" t="s">
        <v>566</v>
      </c>
      <c r="D145" s="12" t="s">
        <v>450</v>
      </c>
      <c r="E145" s="12">
        <v>128</v>
      </c>
      <c r="F145" s="12"/>
      <c r="G145" s="12"/>
    </row>
    <row r="146" spans="1:7" ht="14.4" x14ac:dyDescent="0.3">
      <c r="A146" s="12" t="s">
        <v>499</v>
      </c>
      <c r="B146" s="12" t="s">
        <v>571</v>
      </c>
      <c r="C146" s="12" t="s">
        <v>572</v>
      </c>
      <c r="D146" s="12" t="s">
        <v>474</v>
      </c>
      <c r="E146" s="12">
        <v>108</v>
      </c>
      <c r="F146" s="12">
        <v>75</v>
      </c>
      <c r="G146" s="12"/>
    </row>
    <row r="147" spans="1:7" ht="14.4" x14ac:dyDescent="0.3">
      <c r="A147" s="12" t="s">
        <v>499</v>
      </c>
      <c r="B147" s="12" t="s">
        <v>618</v>
      </c>
      <c r="C147" s="12" t="s">
        <v>572</v>
      </c>
      <c r="D147" s="12" t="s">
        <v>476</v>
      </c>
      <c r="E147" s="12">
        <v>118</v>
      </c>
      <c r="F147" s="12">
        <v>81</v>
      </c>
      <c r="G147" s="12">
        <v>52</v>
      </c>
    </row>
    <row r="148" spans="1:7" ht="14.4" x14ac:dyDescent="0.3">
      <c r="A148" s="12" t="s">
        <v>499</v>
      </c>
      <c r="B148" s="12" t="s">
        <v>620</v>
      </c>
      <c r="C148" s="12" t="s">
        <v>572</v>
      </c>
      <c r="D148" s="12" t="s">
        <v>450</v>
      </c>
      <c r="E148" s="12">
        <v>129</v>
      </c>
      <c r="F148" s="12"/>
      <c r="G148" s="12"/>
    </row>
    <row r="149" spans="1:7" ht="14.4" x14ac:dyDescent="0.3">
      <c r="A149" s="12" t="s">
        <v>499</v>
      </c>
      <c r="B149" s="12" t="s">
        <v>547</v>
      </c>
      <c r="C149" s="12" t="s">
        <v>572</v>
      </c>
      <c r="D149" s="12" t="s">
        <v>483</v>
      </c>
      <c r="E149" s="12">
        <v>71</v>
      </c>
      <c r="F149" s="12">
        <v>50</v>
      </c>
      <c r="G149" s="12"/>
    </row>
    <row r="150" spans="1:7" ht="14.4" x14ac:dyDescent="0.3">
      <c r="A150" s="12" t="s">
        <v>499</v>
      </c>
      <c r="B150" s="12" t="s">
        <v>569</v>
      </c>
      <c r="C150" s="12" t="s">
        <v>570</v>
      </c>
      <c r="D150" s="12" t="s">
        <v>474</v>
      </c>
      <c r="E150" s="12">
        <v>107</v>
      </c>
      <c r="F150" s="12">
        <v>74</v>
      </c>
      <c r="G150" s="12"/>
    </row>
    <row r="151" spans="1:7" ht="14.4" x14ac:dyDescent="0.3">
      <c r="A151" s="12" t="s">
        <v>499</v>
      </c>
      <c r="B151" s="12" t="s">
        <v>617</v>
      </c>
      <c r="C151" s="12" t="s">
        <v>570</v>
      </c>
      <c r="D151" s="12" t="s">
        <v>476</v>
      </c>
      <c r="E151" s="12">
        <v>117</v>
      </c>
      <c r="F151" s="12">
        <v>80</v>
      </c>
      <c r="G151" s="12">
        <v>51</v>
      </c>
    </row>
    <row r="152" spans="1:7" ht="14.4" x14ac:dyDescent="0.3">
      <c r="A152" s="12" t="s">
        <v>499</v>
      </c>
      <c r="B152" s="12" t="s">
        <v>582</v>
      </c>
      <c r="C152" s="12" t="s">
        <v>570</v>
      </c>
      <c r="D152" s="12" t="s">
        <v>450</v>
      </c>
      <c r="E152" s="12">
        <v>130</v>
      </c>
      <c r="F152" s="12">
        <v>89</v>
      </c>
      <c r="G152" s="12">
        <v>55</v>
      </c>
    </row>
    <row r="153" spans="1:7" ht="14.4" x14ac:dyDescent="0.3">
      <c r="A153" s="12" t="s">
        <v>499</v>
      </c>
      <c r="B153" s="12" t="s">
        <v>621</v>
      </c>
      <c r="C153" s="12" t="s">
        <v>570</v>
      </c>
      <c r="D153" s="12" t="s">
        <v>450</v>
      </c>
      <c r="E153" s="12">
        <v>131</v>
      </c>
      <c r="F153" s="12"/>
      <c r="G153" s="12"/>
    </row>
    <row r="154" spans="1:7" ht="14.4" x14ac:dyDescent="0.3">
      <c r="A154" s="12" t="s">
        <v>499</v>
      </c>
      <c r="B154" s="12" t="s">
        <v>545</v>
      </c>
      <c r="C154" s="12" t="s">
        <v>570</v>
      </c>
      <c r="D154" s="12" t="s">
        <v>483</v>
      </c>
      <c r="E154" s="12">
        <v>70</v>
      </c>
      <c r="F154" s="12">
        <v>49</v>
      </c>
      <c r="G154" s="12"/>
    </row>
    <row r="155" spans="1:7" ht="14.4" x14ac:dyDescent="0.3">
      <c r="A155" s="12" t="s">
        <v>499</v>
      </c>
      <c r="B155" s="12" t="s">
        <v>551</v>
      </c>
      <c r="C155" s="12" t="s">
        <v>552</v>
      </c>
      <c r="D155" s="12" t="s">
        <v>474</v>
      </c>
      <c r="E155" s="12">
        <v>75</v>
      </c>
      <c r="F155" s="12">
        <v>52</v>
      </c>
      <c r="G155" s="12"/>
    </row>
    <row r="156" spans="1:7" ht="14.4" x14ac:dyDescent="0.3">
      <c r="A156" s="12" t="s">
        <v>499</v>
      </c>
      <c r="B156" s="12" t="s">
        <v>564</v>
      </c>
      <c r="C156" s="12" t="s">
        <v>552</v>
      </c>
      <c r="D156" s="12" t="s">
        <v>474</v>
      </c>
      <c r="E156" s="12">
        <v>102</v>
      </c>
      <c r="F156" s="12">
        <v>71</v>
      </c>
      <c r="G156" s="12">
        <v>46</v>
      </c>
    </row>
    <row r="157" spans="1:7" ht="14.4" x14ac:dyDescent="0.3">
      <c r="A157" s="12" t="s">
        <v>499</v>
      </c>
      <c r="B157" s="12" t="s">
        <v>581</v>
      </c>
      <c r="C157" s="12" t="s">
        <v>552</v>
      </c>
      <c r="D157" s="12" t="s">
        <v>450</v>
      </c>
      <c r="E157" s="12">
        <v>127</v>
      </c>
      <c r="F157" s="12">
        <v>88</v>
      </c>
      <c r="G157" s="12"/>
    </row>
    <row r="158" spans="1:7" ht="14.4" x14ac:dyDescent="0.3">
      <c r="A158" s="12" t="s">
        <v>499</v>
      </c>
      <c r="B158" s="12" t="s">
        <v>622</v>
      </c>
      <c r="C158" s="12" t="s">
        <v>552</v>
      </c>
      <c r="D158" s="12" t="s">
        <v>450</v>
      </c>
      <c r="E158" s="12">
        <v>132</v>
      </c>
      <c r="F158" s="12"/>
      <c r="G158" s="12"/>
    </row>
    <row r="159" spans="1:7" ht="14.4" x14ac:dyDescent="0.3">
      <c r="A159" s="12" t="s">
        <v>499</v>
      </c>
      <c r="B159" s="12" t="s">
        <v>539</v>
      </c>
      <c r="C159" s="12" t="s">
        <v>552</v>
      </c>
      <c r="D159" s="12" t="s">
        <v>463</v>
      </c>
      <c r="E159" s="12">
        <v>61</v>
      </c>
      <c r="F159" s="12">
        <v>46</v>
      </c>
      <c r="G159" s="12">
        <v>30</v>
      </c>
    </row>
    <row r="160" spans="1:7" ht="14.4" x14ac:dyDescent="0.3">
      <c r="A160" s="12" t="s">
        <v>499</v>
      </c>
      <c r="B160" s="12" t="s">
        <v>549</v>
      </c>
      <c r="C160" s="12" t="s">
        <v>550</v>
      </c>
      <c r="D160" s="12" t="s">
        <v>474</v>
      </c>
      <c r="E160" s="12">
        <v>74</v>
      </c>
      <c r="F160" s="12">
        <v>51</v>
      </c>
      <c r="G160" s="12"/>
    </row>
    <row r="161" spans="1:7" ht="14.4" x14ac:dyDescent="0.3">
      <c r="A161" s="12" t="s">
        <v>499</v>
      </c>
      <c r="B161" s="12" t="s">
        <v>563</v>
      </c>
      <c r="C161" s="12" t="s">
        <v>550</v>
      </c>
      <c r="D161" s="12" t="s">
        <v>474</v>
      </c>
      <c r="E161" s="12">
        <v>101</v>
      </c>
      <c r="F161" s="12">
        <v>70</v>
      </c>
      <c r="G161" s="12">
        <v>45</v>
      </c>
    </row>
    <row r="162" spans="1:7" ht="14.4" x14ac:dyDescent="0.3">
      <c r="A162" s="12" t="s">
        <v>499</v>
      </c>
      <c r="B162" s="12" t="s">
        <v>623</v>
      </c>
      <c r="C162" s="12" t="s">
        <v>550</v>
      </c>
      <c r="D162" s="12" t="s">
        <v>450</v>
      </c>
      <c r="E162" s="12">
        <v>133</v>
      </c>
      <c r="F162" s="12"/>
      <c r="G162" s="12"/>
    </row>
    <row r="163" spans="1:7" ht="14.4" x14ac:dyDescent="0.3">
      <c r="A163" s="12" t="s">
        <v>499</v>
      </c>
      <c r="B163" s="12" t="s">
        <v>506</v>
      </c>
      <c r="C163" s="12" t="s">
        <v>550</v>
      </c>
      <c r="D163" s="12" t="s">
        <v>483</v>
      </c>
      <c r="E163" s="12">
        <v>23</v>
      </c>
      <c r="F163" s="12">
        <v>19</v>
      </c>
      <c r="G163" s="12"/>
    </row>
    <row r="164" spans="1:7" ht="14.4" x14ac:dyDescent="0.3">
      <c r="A164" s="12" t="s">
        <v>499</v>
      </c>
      <c r="B164" s="12" t="s">
        <v>547</v>
      </c>
      <c r="C164" s="12" t="s">
        <v>548</v>
      </c>
      <c r="D164" s="12" t="s">
        <v>474</v>
      </c>
      <c r="E164" s="12">
        <v>71</v>
      </c>
      <c r="F164" s="12">
        <v>50</v>
      </c>
      <c r="G164" s="12"/>
    </row>
    <row r="165" spans="1:7" ht="14.4" x14ac:dyDescent="0.3">
      <c r="A165" s="12" t="s">
        <v>499</v>
      </c>
      <c r="B165" s="12" t="s">
        <v>490</v>
      </c>
      <c r="C165" s="12" t="s">
        <v>548</v>
      </c>
      <c r="D165" s="12" t="s">
        <v>476</v>
      </c>
      <c r="E165" s="12">
        <v>122</v>
      </c>
      <c r="F165" s="12">
        <v>85</v>
      </c>
      <c r="G165" s="12">
        <v>54</v>
      </c>
    </row>
    <row r="166" spans="1:7" ht="14.4" x14ac:dyDescent="0.3">
      <c r="A166" s="12" t="s">
        <v>499</v>
      </c>
      <c r="B166" s="12" t="s">
        <v>618</v>
      </c>
      <c r="C166" s="12" t="s">
        <v>548</v>
      </c>
      <c r="D166" s="12" t="s">
        <v>450</v>
      </c>
      <c r="E166" s="12">
        <v>118</v>
      </c>
      <c r="F166" s="12">
        <v>81</v>
      </c>
      <c r="G166" s="12">
        <v>52</v>
      </c>
    </row>
    <row r="167" spans="1:7" ht="14.4" x14ac:dyDescent="0.3">
      <c r="A167" s="12" t="s">
        <v>499</v>
      </c>
      <c r="B167" s="12" t="s">
        <v>545</v>
      </c>
      <c r="C167" s="12" t="s">
        <v>546</v>
      </c>
      <c r="D167" s="12" t="s">
        <v>474</v>
      </c>
      <c r="E167" s="12">
        <v>70</v>
      </c>
      <c r="F167" s="12">
        <v>49</v>
      </c>
      <c r="G167" s="12"/>
    </row>
    <row r="168" spans="1:7" ht="14.4" x14ac:dyDescent="0.3">
      <c r="A168" s="12" t="s">
        <v>499</v>
      </c>
      <c r="B168" s="12" t="s">
        <v>595</v>
      </c>
      <c r="C168" s="12" t="s">
        <v>546</v>
      </c>
      <c r="D168" s="12" t="s">
        <v>591</v>
      </c>
      <c r="E168" s="12">
        <v>79</v>
      </c>
      <c r="F168" s="12"/>
      <c r="G168" s="12"/>
    </row>
    <row r="169" spans="1:7" ht="14.4" x14ac:dyDescent="0.3">
      <c r="A169" s="12" t="s">
        <v>499</v>
      </c>
      <c r="B169" s="12" t="s">
        <v>489</v>
      </c>
      <c r="C169" s="12" t="s">
        <v>546</v>
      </c>
      <c r="D169" s="12" t="s">
        <v>476</v>
      </c>
      <c r="E169" s="12">
        <v>121</v>
      </c>
      <c r="F169" s="12">
        <v>84</v>
      </c>
      <c r="G169" s="12">
        <v>53</v>
      </c>
    </row>
    <row r="170" spans="1:7" ht="14.4" x14ac:dyDescent="0.3">
      <c r="A170" s="12" t="s">
        <v>499</v>
      </c>
      <c r="B170" s="12" t="s">
        <v>617</v>
      </c>
      <c r="C170" s="12" t="s">
        <v>546</v>
      </c>
      <c r="D170" s="12" t="s">
        <v>450</v>
      </c>
      <c r="E170" s="12">
        <v>117</v>
      </c>
      <c r="F170" s="12">
        <v>80</v>
      </c>
      <c r="G170" s="12">
        <v>51</v>
      </c>
    </row>
    <row r="171" spans="1:7" ht="14.4" x14ac:dyDescent="0.3">
      <c r="A171" s="12" t="s">
        <v>499</v>
      </c>
      <c r="B171" s="12" t="s">
        <v>554</v>
      </c>
      <c r="C171" s="12" t="s">
        <v>600</v>
      </c>
      <c r="D171" s="12" t="s">
        <v>591</v>
      </c>
      <c r="E171" s="12">
        <v>87</v>
      </c>
      <c r="F171" s="12">
        <v>59</v>
      </c>
      <c r="G171" s="12">
        <v>39</v>
      </c>
    </row>
    <row r="172" spans="1:7" ht="14.4" x14ac:dyDescent="0.3">
      <c r="A172" s="12" t="s">
        <v>499</v>
      </c>
      <c r="B172" s="12" t="s">
        <v>555</v>
      </c>
      <c r="C172" s="12" t="s">
        <v>600</v>
      </c>
      <c r="D172" s="12" t="s">
        <v>591</v>
      </c>
      <c r="E172" s="12">
        <v>92</v>
      </c>
      <c r="F172" s="12">
        <v>62</v>
      </c>
      <c r="G172" s="12"/>
    </row>
    <row r="173" spans="1:7" ht="14.4" x14ac:dyDescent="0.3">
      <c r="A173" s="12" t="s">
        <v>499</v>
      </c>
      <c r="B173" s="12" t="s">
        <v>560</v>
      </c>
      <c r="C173" s="12" t="s">
        <v>601</v>
      </c>
      <c r="D173" s="12" t="s">
        <v>591</v>
      </c>
      <c r="E173" s="12">
        <v>97</v>
      </c>
      <c r="F173" s="12">
        <v>67</v>
      </c>
      <c r="G173" s="12">
        <v>42</v>
      </c>
    </row>
    <row r="174" spans="1:7" ht="14.4" x14ac:dyDescent="0.3">
      <c r="A174" s="12" t="s">
        <v>499</v>
      </c>
      <c r="B174" s="12" t="s">
        <v>581</v>
      </c>
      <c r="C174" s="12" t="s">
        <v>601</v>
      </c>
      <c r="D174" s="12" t="s">
        <v>591</v>
      </c>
      <c r="E174" s="12">
        <v>127</v>
      </c>
      <c r="F174" s="12">
        <v>88</v>
      </c>
      <c r="G174" s="12"/>
    </row>
    <row r="175" spans="1:7" ht="14.4" x14ac:dyDescent="0.3">
      <c r="A175" s="12" t="s">
        <v>499</v>
      </c>
      <c r="B175" s="12" t="s">
        <v>561</v>
      </c>
      <c r="C175" s="12" t="s">
        <v>602</v>
      </c>
      <c r="D175" s="12" t="s">
        <v>591</v>
      </c>
      <c r="E175" s="12">
        <v>98</v>
      </c>
      <c r="F175" s="12">
        <v>68</v>
      </c>
      <c r="G175" s="12">
        <v>43</v>
      </c>
    </row>
    <row r="176" spans="1:7" ht="14.4" x14ac:dyDescent="0.3">
      <c r="A176" s="12" t="s">
        <v>499</v>
      </c>
      <c r="B176" s="12" t="s">
        <v>624</v>
      </c>
      <c r="C176" s="12" t="s">
        <v>602</v>
      </c>
      <c r="D176" s="12" t="s">
        <v>450</v>
      </c>
      <c r="E176" s="12">
        <v>143</v>
      </c>
      <c r="F176" s="12">
        <v>99</v>
      </c>
      <c r="G176" s="12"/>
    </row>
    <row r="177" spans="1:7" ht="14.4" x14ac:dyDescent="0.3">
      <c r="A177" s="12" t="s">
        <v>499</v>
      </c>
      <c r="B177" s="12" t="s">
        <v>562</v>
      </c>
      <c r="C177" s="12" t="s">
        <v>603</v>
      </c>
      <c r="D177" s="12" t="s">
        <v>591</v>
      </c>
      <c r="E177" s="12">
        <v>100</v>
      </c>
      <c r="F177" s="12">
        <v>69</v>
      </c>
      <c r="G177" s="12">
        <v>44</v>
      </c>
    </row>
    <row r="178" spans="1:7" ht="14.4" x14ac:dyDescent="0.3">
      <c r="A178" s="12" t="s">
        <v>499</v>
      </c>
      <c r="B178" s="12" t="s">
        <v>625</v>
      </c>
      <c r="C178" s="12" t="s">
        <v>603</v>
      </c>
      <c r="D178" s="12" t="s">
        <v>450</v>
      </c>
      <c r="E178" s="12">
        <v>144</v>
      </c>
      <c r="F178" s="12">
        <v>100</v>
      </c>
      <c r="G178" s="12"/>
    </row>
    <row r="179" spans="1:7" ht="14.4" x14ac:dyDescent="0.3">
      <c r="A179" s="12" t="s">
        <v>628</v>
      </c>
      <c r="B179" s="12" t="s">
        <v>604</v>
      </c>
      <c r="C179" s="12" t="s">
        <v>653</v>
      </c>
      <c r="D179" s="12" t="s">
        <v>474</v>
      </c>
      <c r="E179" s="12">
        <v>126</v>
      </c>
      <c r="F179" s="12"/>
      <c r="G179" s="12"/>
    </row>
    <row r="180" spans="1:7" ht="14.4" x14ac:dyDescent="0.3">
      <c r="A180" s="12" t="s">
        <v>628</v>
      </c>
      <c r="B180" s="12" t="s">
        <v>660</v>
      </c>
      <c r="C180" s="12" t="s">
        <v>653</v>
      </c>
      <c r="D180" s="12" t="s">
        <v>483</v>
      </c>
      <c r="E180" s="12">
        <v>64</v>
      </c>
      <c r="F180" s="12"/>
      <c r="G180" s="12"/>
    </row>
    <row r="181" spans="1:7" ht="14.4" x14ac:dyDescent="0.3">
      <c r="A181" s="12" t="s">
        <v>628</v>
      </c>
      <c r="B181" s="12" t="s">
        <v>619</v>
      </c>
      <c r="C181" s="12" t="s">
        <v>654</v>
      </c>
      <c r="D181" s="12" t="s">
        <v>474</v>
      </c>
      <c r="E181" s="12">
        <v>128</v>
      </c>
      <c r="F181" s="12"/>
      <c r="G181" s="12"/>
    </row>
    <row r="182" spans="1:7" ht="14.4" x14ac:dyDescent="0.3">
      <c r="A182" s="12" t="s">
        <v>628</v>
      </c>
      <c r="B182" s="12" t="s">
        <v>661</v>
      </c>
      <c r="C182" s="12" t="s">
        <v>654</v>
      </c>
      <c r="D182" s="12" t="s">
        <v>483</v>
      </c>
      <c r="E182" s="12">
        <v>65</v>
      </c>
      <c r="F182" s="12"/>
      <c r="G182" s="12"/>
    </row>
    <row r="183" spans="1:7" ht="14.4" x14ac:dyDescent="0.3">
      <c r="A183" s="12" t="s">
        <v>628</v>
      </c>
      <c r="B183" s="12" t="s">
        <v>620</v>
      </c>
      <c r="C183" s="12" t="s">
        <v>655</v>
      </c>
      <c r="D183" s="12" t="s">
        <v>474</v>
      </c>
      <c r="E183" s="12">
        <v>129</v>
      </c>
      <c r="F183" s="12"/>
      <c r="G183" s="12"/>
    </row>
    <row r="184" spans="1:7" ht="14.4" x14ac:dyDescent="0.3">
      <c r="A184" s="12" t="s">
        <v>628</v>
      </c>
      <c r="B184" s="12" t="s">
        <v>549</v>
      </c>
      <c r="C184" s="12" t="s">
        <v>655</v>
      </c>
      <c r="D184" s="12" t="s">
        <v>591</v>
      </c>
      <c r="E184" s="12">
        <v>74</v>
      </c>
      <c r="F184" s="12">
        <v>51</v>
      </c>
      <c r="G184" s="12"/>
    </row>
    <row r="185" spans="1:7" ht="14.4" x14ac:dyDescent="0.3">
      <c r="A185" s="12" t="s">
        <v>628</v>
      </c>
      <c r="B185" s="12" t="s">
        <v>543</v>
      </c>
      <c r="C185" s="12" t="s">
        <v>655</v>
      </c>
      <c r="D185" s="12" t="s">
        <v>450</v>
      </c>
      <c r="E185" s="12">
        <v>68</v>
      </c>
      <c r="F185" s="12">
        <v>48</v>
      </c>
      <c r="G185" s="12">
        <v>32</v>
      </c>
    </row>
    <row r="186" spans="1:7" ht="14.4" x14ac:dyDescent="0.3">
      <c r="A186" s="12" t="s">
        <v>628</v>
      </c>
      <c r="B186" s="12" t="s">
        <v>621</v>
      </c>
      <c r="C186" s="12" t="s">
        <v>656</v>
      </c>
      <c r="D186" s="12" t="s">
        <v>474</v>
      </c>
      <c r="E186" s="12">
        <v>131</v>
      </c>
      <c r="F186" s="12"/>
      <c r="G186" s="12"/>
    </row>
    <row r="187" spans="1:7" ht="14.4" x14ac:dyDescent="0.3">
      <c r="A187" s="12" t="s">
        <v>628</v>
      </c>
      <c r="B187" s="12" t="s">
        <v>662</v>
      </c>
      <c r="C187" s="12" t="s">
        <v>656</v>
      </c>
      <c r="D187" s="12" t="s">
        <v>483</v>
      </c>
      <c r="E187" s="12">
        <v>69</v>
      </c>
      <c r="F187" s="12"/>
      <c r="G187" s="12"/>
    </row>
    <row r="188" spans="1:7" ht="14.4" x14ac:dyDescent="0.3">
      <c r="A188" s="12" t="s">
        <v>628</v>
      </c>
      <c r="B188" s="12" t="s">
        <v>646</v>
      </c>
      <c r="C188" s="12" t="s">
        <v>647</v>
      </c>
      <c r="D188" s="12" t="s">
        <v>474</v>
      </c>
      <c r="E188" s="12">
        <v>76</v>
      </c>
      <c r="F188" s="12"/>
      <c r="G188" s="12"/>
    </row>
    <row r="189" spans="1:7" ht="14.4" x14ac:dyDescent="0.3">
      <c r="A189" s="12" t="s">
        <v>628</v>
      </c>
      <c r="B189" s="12" t="s">
        <v>622</v>
      </c>
      <c r="C189" s="12" t="s">
        <v>647</v>
      </c>
      <c r="D189" s="12" t="s">
        <v>474</v>
      </c>
      <c r="E189" s="12">
        <v>132</v>
      </c>
      <c r="F189" s="12"/>
      <c r="G189" s="12"/>
    </row>
    <row r="190" spans="1:7" ht="14.4" x14ac:dyDescent="0.3">
      <c r="A190" s="12" t="s">
        <v>628</v>
      </c>
      <c r="B190" s="12" t="s">
        <v>642</v>
      </c>
      <c r="C190" s="12" t="s">
        <v>647</v>
      </c>
      <c r="D190" s="12" t="s">
        <v>483</v>
      </c>
      <c r="E190" s="12">
        <v>33</v>
      </c>
      <c r="F190" s="12"/>
      <c r="G190" s="12"/>
    </row>
    <row r="191" spans="1:7" ht="14.4" x14ac:dyDescent="0.3">
      <c r="A191" s="12" t="s">
        <v>628</v>
      </c>
      <c r="B191" s="12" t="s">
        <v>608</v>
      </c>
      <c r="C191" s="12" t="s">
        <v>629</v>
      </c>
      <c r="D191" s="12" t="s">
        <v>474</v>
      </c>
      <c r="E191" s="12">
        <v>7</v>
      </c>
      <c r="F191" s="12">
        <v>7</v>
      </c>
      <c r="G191" s="12"/>
    </row>
    <row r="192" spans="1:7" ht="14.4" x14ac:dyDescent="0.3">
      <c r="A192" s="12" t="s">
        <v>628</v>
      </c>
      <c r="B192" s="12" t="s">
        <v>623</v>
      </c>
      <c r="C192" s="12" t="s">
        <v>629</v>
      </c>
      <c r="D192" s="12" t="s">
        <v>474</v>
      </c>
      <c r="E192" s="12">
        <v>133</v>
      </c>
      <c r="F192" s="12"/>
      <c r="G192" s="12"/>
    </row>
    <row r="193" spans="1:7" ht="14.4" x14ac:dyDescent="0.3">
      <c r="A193" s="12" t="s">
        <v>628</v>
      </c>
      <c r="B193" s="12" t="s">
        <v>516</v>
      </c>
      <c r="C193" s="12" t="s">
        <v>629</v>
      </c>
      <c r="D193" s="12" t="s">
        <v>483</v>
      </c>
      <c r="E193" s="12">
        <v>35</v>
      </c>
      <c r="F193" s="12">
        <v>25</v>
      </c>
      <c r="G193" s="12"/>
    </row>
    <row r="194" spans="1:7" ht="14.4" x14ac:dyDescent="0.3">
      <c r="A194" s="12" t="s">
        <v>628</v>
      </c>
      <c r="B194" s="12" t="s">
        <v>665</v>
      </c>
      <c r="C194" s="12" t="s">
        <v>629</v>
      </c>
      <c r="D194" s="12" t="s">
        <v>483</v>
      </c>
      <c r="E194" s="12">
        <v>77</v>
      </c>
      <c r="F194" s="12">
        <v>53</v>
      </c>
      <c r="G194" s="12">
        <v>33</v>
      </c>
    </row>
    <row r="195" spans="1:7" ht="14.4" x14ac:dyDescent="0.3">
      <c r="A195" s="12" t="s">
        <v>628</v>
      </c>
      <c r="B195" s="12" t="s">
        <v>644</v>
      </c>
      <c r="C195" s="12" t="s">
        <v>659</v>
      </c>
      <c r="D195" s="12" t="s">
        <v>483</v>
      </c>
      <c r="E195" s="12">
        <v>36</v>
      </c>
      <c r="F195" s="12"/>
      <c r="G195" s="12"/>
    </row>
    <row r="196" spans="1:7" ht="14.4" x14ac:dyDescent="0.3">
      <c r="A196" s="12" t="s">
        <v>628</v>
      </c>
      <c r="B196" s="12" t="s">
        <v>666</v>
      </c>
      <c r="C196" s="12" t="s">
        <v>659</v>
      </c>
      <c r="D196" s="12" t="s">
        <v>483</v>
      </c>
      <c r="E196" s="12">
        <v>78</v>
      </c>
      <c r="F196" s="12">
        <v>54</v>
      </c>
      <c r="G196" s="12">
        <v>34</v>
      </c>
    </row>
    <row r="197" spans="1:7" ht="14.4" x14ac:dyDescent="0.3">
      <c r="A197" s="12" t="s">
        <v>628</v>
      </c>
      <c r="B197" s="12" t="s">
        <v>595</v>
      </c>
      <c r="C197" s="12" t="s">
        <v>648</v>
      </c>
      <c r="D197" s="12" t="s">
        <v>474</v>
      </c>
      <c r="E197" s="12">
        <v>79</v>
      </c>
      <c r="F197" s="12"/>
      <c r="G197" s="12"/>
    </row>
    <row r="198" spans="1:7" ht="14.4" x14ac:dyDescent="0.3">
      <c r="A198" s="12" t="s">
        <v>628</v>
      </c>
      <c r="B198" s="12" t="s">
        <v>663</v>
      </c>
      <c r="C198" s="12" t="s">
        <v>648</v>
      </c>
      <c r="D198" s="12" t="s">
        <v>483</v>
      </c>
      <c r="E198" s="12">
        <v>72</v>
      </c>
      <c r="F198" s="12"/>
      <c r="G198" s="12"/>
    </row>
    <row r="199" spans="1:7" ht="14.4" x14ac:dyDescent="0.3">
      <c r="A199" s="12" t="s">
        <v>628</v>
      </c>
      <c r="B199" s="12" t="s">
        <v>630</v>
      </c>
      <c r="C199" s="12" t="s">
        <v>631</v>
      </c>
      <c r="D199" s="12" t="s">
        <v>474</v>
      </c>
      <c r="E199" s="12">
        <v>10</v>
      </c>
      <c r="F199" s="12"/>
      <c r="G199" s="12"/>
    </row>
    <row r="200" spans="1:7" ht="14.4" x14ac:dyDescent="0.3">
      <c r="A200" s="12" t="s">
        <v>628</v>
      </c>
      <c r="B200" s="12" t="s">
        <v>596</v>
      </c>
      <c r="C200" s="12" t="s">
        <v>631</v>
      </c>
      <c r="D200" s="12" t="s">
        <v>450</v>
      </c>
      <c r="E200" s="12">
        <v>80</v>
      </c>
      <c r="F200" s="12">
        <v>55</v>
      </c>
      <c r="G200" s="12">
        <v>35</v>
      </c>
    </row>
    <row r="201" spans="1:7" ht="14.4" x14ac:dyDescent="0.3">
      <c r="A201" s="12" t="s">
        <v>628</v>
      </c>
      <c r="B201" s="12" t="s">
        <v>632</v>
      </c>
      <c r="C201" s="12" t="s">
        <v>633</v>
      </c>
      <c r="D201" s="12" t="s">
        <v>474</v>
      </c>
      <c r="E201" s="12">
        <v>19</v>
      </c>
      <c r="F201" s="12"/>
      <c r="G201" s="12"/>
    </row>
    <row r="202" spans="1:7" ht="14.4" x14ac:dyDescent="0.3">
      <c r="A202" s="12" t="s">
        <v>628</v>
      </c>
      <c r="B202" s="12" t="s">
        <v>598</v>
      </c>
      <c r="C202" s="12" t="s">
        <v>633</v>
      </c>
      <c r="D202" s="12" t="s">
        <v>450</v>
      </c>
      <c r="E202" s="12">
        <v>81</v>
      </c>
      <c r="F202" s="12">
        <v>56</v>
      </c>
      <c r="G202" s="12">
        <v>36</v>
      </c>
    </row>
    <row r="203" spans="1:7" ht="14.4" x14ac:dyDescent="0.3">
      <c r="A203" s="12" t="s">
        <v>628</v>
      </c>
      <c r="B203" s="12" t="s">
        <v>518</v>
      </c>
      <c r="C203" s="12" t="s">
        <v>633</v>
      </c>
      <c r="D203" s="12" t="s">
        <v>483</v>
      </c>
      <c r="E203" s="12">
        <v>39</v>
      </c>
      <c r="F203" s="12">
        <v>26</v>
      </c>
      <c r="G203" s="12">
        <v>17</v>
      </c>
    </row>
    <row r="204" spans="1:7" ht="14.4" x14ac:dyDescent="0.3">
      <c r="A204" s="12" t="s">
        <v>628</v>
      </c>
      <c r="B204" s="12" t="s">
        <v>634</v>
      </c>
      <c r="C204" s="12" t="s">
        <v>635</v>
      </c>
      <c r="D204" s="12" t="s">
        <v>474</v>
      </c>
      <c r="E204" s="12">
        <v>22</v>
      </c>
      <c r="F204" s="12"/>
      <c r="G204" s="12"/>
    </row>
    <row r="205" spans="1:7" ht="14.4" x14ac:dyDescent="0.3">
      <c r="A205" s="12" t="s">
        <v>628</v>
      </c>
      <c r="B205" s="12" t="s">
        <v>649</v>
      </c>
      <c r="C205" s="12" t="s">
        <v>635</v>
      </c>
      <c r="D205" s="12" t="s">
        <v>474</v>
      </c>
      <c r="E205" s="12">
        <v>82</v>
      </c>
      <c r="F205" s="12"/>
      <c r="G205" s="12"/>
    </row>
    <row r="206" spans="1:7" ht="14.4" x14ac:dyDescent="0.3">
      <c r="A206" s="12" t="s">
        <v>628</v>
      </c>
      <c r="B206" s="12" t="s">
        <v>608</v>
      </c>
      <c r="C206" s="12" t="s">
        <v>635</v>
      </c>
      <c r="D206" s="12" t="s">
        <v>450</v>
      </c>
      <c r="E206" s="12">
        <v>7</v>
      </c>
      <c r="F206" s="12">
        <v>7</v>
      </c>
      <c r="G206" s="12"/>
    </row>
    <row r="207" spans="1:7" ht="14.4" x14ac:dyDescent="0.3">
      <c r="A207" s="12" t="s">
        <v>628</v>
      </c>
      <c r="B207" s="12" t="s">
        <v>636</v>
      </c>
      <c r="C207" s="12" t="s">
        <v>637</v>
      </c>
      <c r="D207" s="12" t="s">
        <v>474</v>
      </c>
      <c r="E207" s="12">
        <v>24</v>
      </c>
      <c r="F207" s="12"/>
      <c r="G207" s="12"/>
    </row>
    <row r="208" spans="1:7" ht="14.4" x14ac:dyDescent="0.3">
      <c r="A208" s="12" t="s">
        <v>628</v>
      </c>
      <c r="B208" s="12" t="s">
        <v>492</v>
      </c>
      <c r="C208" s="12" t="s">
        <v>637</v>
      </c>
      <c r="D208" s="12" t="s">
        <v>591</v>
      </c>
      <c r="E208" s="12">
        <v>83</v>
      </c>
      <c r="F208" s="12">
        <v>57</v>
      </c>
      <c r="G208" s="12">
        <v>37</v>
      </c>
    </row>
    <row r="209" spans="1:7" ht="14.4" x14ac:dyDescent="0.3">
      <c r="A209" s="12" t="s">
        <v>628</v>
      </c>
      <c r="B209" s="12" t="s">
        <v>664</v>
      </c>
      <c r="C209" s="12" t="s">
        <v>637</v>
      </c>
      <c r="D209" s="12" t="s">
        <v>483</v>
      </c>
      <c r="E209" s="12">
        <v>73</v>
      </c>
      <c r="F209" s="12"/>
      <c r="G209" s="12"/>
    </row>
    <row r="210" spans="1:7" ht="14.4" x14ac:dyDescent="0.3">
      <c r="A210" s="12" t="s">
        <v>628</v>
      </c>
      <c r="B210" s="12" t="s">
        <v>638</v>
      </c>
      <c r="C210" s="12" t="s">
        <v>639</v>
      </c>
      <c r="D210" s="12" t="s">
        <v>474</v>
      </c>
      <c r="E210" s="12">
        <v>26</v>
      </c>
      <c r="F210" s="12"/>
      <c r="G210" s="12"/>
    </row>
    <row r="211" spans="1:7" ht="14.4" x14ac:dyDescent="0.3">
      <c r="A211" s="12" t="s">
        <v>628</v>
      </c>
      <c r="B211" s="12" t="s">
        <v>650</v>
      </c>
      <c r="C211" s="12" t="s">
        <v>639</v>
      </c>
      <c r="D211" s="12" t="s">
        <v>474</v>
      </c>
      <c r="E211" s="12">
        <v>84</v>
      </c>
      <c r="F211" s="12"/>
      <c r="G211" s="12"/>
    </row>
    <row r="212" spans="1:7" ht="14.4" x14ac:dyDescent="0.3">
      <c r="A212" s="12" t="s">
        <v>628</v>
      </c>
      <c r="B212" s="12" t="s">
        <v>657</v>
      </c>
      <c r="C212" s="12" t="s">
        <v>639</v>
      </c>
      <c r="D212" s="12" t="s">
        <v>450</v>
      </c>
      <c r="E212" s="12">
        <v>99</v>
      </c>
      <c r="F212" s="12"/>
      <c r="G212" s="12"/>
    </row>
    <row r="213" spans="1:7" ht="14.4" x14ac:dyDescent="0.3">
      <c r="A213" s="12" t="s">
        <v>628</v>
      </c>
      <c r="B213" s="12" t="s">
        <v>640</v>
      </c>
      <c r="C213" s="12" t="s">
        <v>641</v>
      </c>
      <c r="D213" s="12" t="s">
        <v>474</v>
      </c>
      <c r="E213" s="12">
        <v>27</v>
      </c>
      <c r="F213" s="12"/>
      <c r="G213" s="12"/>
    </row>
    <row r="214" spans="1:7" ht="14.4" x14ac:dyDescent="0.3">
      <c r="A214" s="12" t="s">
        <v>628</v>
      </c>
      <c r="B214" s="12" t="s">
        <v>562</v>
      </c>
      <c r="C214" s="12" t="s">
        <v>641</v>
      </c>
      <c r="D214" s="12" t="s">
        <v>450</v>
      </c>
      <c r="E214" s="12">
        <v>100</v>
      </c>
      <c r="F214" s="12">
        <v>69</v>
      </c>
      <c r="G214" s="12">
        <v>44</v>
      </c>
    </row>
    <row r="215" spans="1:7" ht="14.4" x14ac:dyDescent="0.3">
      <c r="A215" s="12" t="s">
        <v>628</v>
      </c>
      <c r="B215" s="12" t="s">
        <v>553</v>
      </c>
      <c r="C215" s="12" t="s">
        <v>641</v>
      </c>
      <c r="D215" s="12" t="s">
        <v>483</v>
      </c>
      <c r="E215" s="12">
        <v>85</v>
      </c>
      <c r="F215" s="12">
        <v>58</v>
      </c>
      <c r="G215" s="12">
        <v>38</v>
      </c>
    </row>
    <row r="216" spans="1:7" ht="14.4" x14ac:dyDescent="0.3">
      <c r="A216" s="12" t="s">
        <v>628</v>
      </c>
      <c r="B216" s="12" t="s">
        <v>642</v>
      </c>
      <c r="C216" s="12" t="s">
        <v>643</v>
      </c>
      <c r="D216" s="12" t="s">
        <v>474</v>
      </c>
      <c r="E216" s="12">
        <v>33</v>
      </c>
      <c r="F216" s="12"/>
      <c r="G216" s="12"/>
    </row>
    <row r="217" spans="1:7" ht="14.4" x14ac:dyDescent="0.3">
      <c r="A217" s="12" t="s">
        <v>628</v>
      </c>
      <c r="B217" s="12" t="s">
        <v>651</v>
      </c>
      <c r="C217" s="12" t="s">
        <v>643</v>
      </c>
      <c r="D217" s="12" t="s">
        <v>474</v>
      </c>
      <c r="E217" s="12">
        <v>86</v>
      </c>
      <c r="F217" s="12"/>
      <c r="G217" s="12"/>
    </row>
    <row r="218" spans="1:7" ht="14.4" x14ac:dyDescent="0.3">
      <c r="A218" s="12" t="s">
        <v>628</v>
      </c>
      <c r="B218" s="12" t="s">
        <v>658</v>
      </c>
      <c r="C218" s="12" t="s">
        <v>643</v>
      </c>
      <c r="D218" s="12" t="s">
        <v>450</v>
      </c>
      <c r="E218" s="12">
        <v>103</v>
      </c>
      <c r="F218" s="12"/>
      <c r="G218" s="12"/>
    </row>
    <row r="219" spans="1:7" ht="14.4" x14ac:dyDescent="0.3">
      <c r="A219" s="12" t="s">
        <v>628</v>
      </c>
      <c r="B219" s="12" t="s">
        <v>644</v>
      </c>
      <c r="C219" s="12" t="s">
        <v>645</v>
      </c>
      <c r="D219" s="12" t="s">
        <v>474</v>
      </c>
      <c r="E219" s="12">
        <v>36</v>
      </c>
      <c r="F219" s="12"/>
      <c r="G219" s="12"/>
    </row>
    <row r="220" spans="1:7" ht="14.4" x14ac:dyDescent="0.3">
      <c r="A220" s="12" t="s">
        <v>628</v>
      </c>
      <c r="B220" s="12" t="s">
        <v>652</v>
      </c>
      <c r="C220" s="12" t="s">
        <v>645</v>
      </c>
      <c r="D220" s="12" t="s">
        <v>474</v>
      </c>
      <c r="E220" s="12">
        <v>88</v>
      </c>
      <c r="F220" s="12"/>
      <c r="G220" s="12"/>
    </row>
    <row r="221" spans="1:7" ht="14.4" x14ac:dyDescent="0.3">
      <c r="A221" s="12" t="s">
        <v>628</v>
      </c>
      <c r="B221" s="12" t="s">
        <v>646</v>
      </c>
      <c r="C221" s="12" t="s">
        <v>645</v>
      </c>
      <c r="D221" s="12" t="s">
        <v>483</v>
      </c>
      <c r="E221" s="12">
        <v>76</v>
      </c>
      <c r="F221" s="12"/>
      <c r="G221" s="12"/>
    </row>
    <row r="222" spans="1:7" ht="14.4" x14ac:dyDescent="0.3">
      <c r="A222" s="12" t="s">
        <v>667</v>
      </c>
      <c r="B222" s="12" t="s">
        <v>666</v>
      </c>
      <c r="C222" s="12" t="s">
        <v>685</v>
      </c>
      <c r="D222" s="12" t="s">
        <v>591</v>
      </c>
      <c r="E222" s="12">
        <v>78</v>
      </c>
      <c r="F222" s="12">
        <v>54</v>
      </c>
      <c r="G222" s="12">
        <v>34</v>
      </c>
    </row>
    <row r="223" spans="1:7" ht="14.4" x14ac:dyDescent="0.3">
      <c r="A223" s="12" t="s">
        <v>667</v>
      </c>
      <c r="B223" s="12" t="s">
        <v>632</v>
      </c>
      <c r="C223" s="12" t="s">
        <v>685</v>
      </c>
      <c r="D223" s="12" t="s">
        <v>476</v>
      </c>
      <c r="E223" s="12">
        <v>19</v>
      </c>
      <c r="F223" s="12"/>
      <c r="G223" s="12"/>
    </row>
    <row r="224" spans="1:7" ht="14.4" x14ac:dyDescent="0.3">
      <c r="A224" s="12" t="s">
        <v>667</v>
      </c>
      <c r="B224" s="12" t="s">
        <v>520</v>
      </c>
      <c r="C224" s="12" t="s">
        <v>685</v>
      </c>
      <c r="D224" s="12" t="s">
        <v>476</v>
      </c>
      <c r="E224" s="12">
        <v>40</v>
      </c>
      <c r="F224" s="12">
        <v>27</v>
      </c>
      <c r="G224" s="12">
        <v>18</v>
      </c>
    </row>
    <row r="225" spans="1:7" ht="14.4" x14ac:dyDescent="0.3">
      <c r="A225" s="12" t="s">
        <v>667</v>
      </c>
      <c r="B225" s="12" t="s">
        <v>593</v>
      </c>
      <c r="C225" s="12" t="s">
        <v>685</v>
      </c>
      <c r="D225" s="12" t="s">
        <v>463</v>
      </c>
      <c r="E225" s="12">
        <v>45</v>
      </c>
      <c r="F225" s="12">
        <v>32</v>
      </c>
      <c r="G225" s="12">
        <v>23</v>
      </c>
    </row>
    <row r="226" spans="1:7" ht="14.4" x14ac:dyDescent="0.3">
      <c r="A226" s="12" t="s">
        <v>667</v>
      </c>
      <c r="B226" s="12" t="s">
        <v>520</v>
      </c>
      <c r="C226" s="12" t="s">
        <v>681</v>
      </c>
      <c r="D226" s="12" t="s">
        <v>591</v>
      </c>
      <c r="E226" s="12">
        <v>40</v>
      </c>
      <c r="F226" s="12">
        <v>27</v>
      </c>
      <c r="G226" s="12">
        <v>18</v>
      </c>
    </row>
    <row r="227" spans="1:7" ht="14.4" x14ac:dyDescent="0.3">
      <c r="A227" s="12" t="s">
        <v>667</v>
      </c>
      <c r="B227" s="12" t="s">
        <v>642</v>
      </c>
      <c r="C227" s="12" t="s">
        <v>681</v>
      </c>
      <c r="D227" s="12" t="s">
        <v>476</v>
      </c>
      <c r="E227" s="12">
        <v>33</v>
      </c>
      <c r="F227" s="12"/>
      <c r="G227" s="12"/>
    </row>
    <row r="228" spans="1:7" ht="14.4" x14ac:dyDescent="0.3">
      <c r="A228" s="12" t="s">
        <v>667</v>
      </c>
      <c r="B228" s="12" t="s">
        <v>526</v>
      </c>
      <c r="C228" s="12" t="s">
        <v>681</v>
      </c>
      <c r="D228" s="12" t="s">
        <v>463</v>
      </c>
      <c r="E228" s="12">
        <v>46</v>
      </c>
      <c r="F228" s="12">
        <v>33</v>
      </c>
      <c r="G228" s="12">
        <v>24</v>
      </c>
    </row>
    <row r="229" spans="1:7" ht="14.4" x14ac:dyDescent="0.3">
      <c r="A229" s="12" t="s">
        <v>667</v>
      </c>
      <c r="B229" s="12" t="s">
        <v>489</v>
      </c>
      <c r="C229" s="12" t="s">
        <v>670</v>
      </c>
      <c r="D229" s="12" t="s">
        <v>474</v>
      </c>
      <c r="E229" s="12">
        <v>121</v>
      </c>
      <c r="F229" s="12">
        <v>84</v>
      </c>
      <c r="G229" s="12">
        <v>53</v>
      </c>
    </row>
    <row r="230" spans="1:7" ht="14.4" x14ac:dyDescent="0.3">
      <c r="A230" s="12" t="s">
        <v>667</v>
      </c>
      <c r="B230" s="12" t="s">
        <v>578</v>
      </c>
      <c r="C230" s="12" t="s">
        <v>690</v>
      </c>
      <c r="D230" s="12" t="s">
        <v>591</v>
      </c>
      <c r="E230" s="12">
        <v>120</v>
      </c>
      <c r="F230" s="12">
        <v>83</v>
      </c>
      <c r="G230" s="12"/>
    </row>
    <row r="231" spans="1:7" ht="14.4" x14ac:dyDescent="0.3">
      <c r="A231" s="12" t="s">
        <v>667</v>
      </c>
      <c r="B231" s="12" t="s">
        <v>577</v>
      </c>
      <c r="C231" s="12" t="s">
        <v>703</v>
      </c>
      <c r="D231" s="12" t="s">
        <v>476</v>
      </c>
      <c r="E231" s="12">
        <v>119</v>
      </c>
      <c r="F231" s="12">
        <v>82</v>
      </c>
      <c r="G231" s="12"/>
    </row>
    <row r="232" spans="1:7" ht="14.4" x14ac:dyDescent="0.3">
      <c r="A232" s="12" t="s">
        <v>667</v>
      </c>
      <c r="B232" s="12" t="s">
        <v>574</v>
      </c>
      <c r="C232" s="12" t="s">
        <v>713</v>
      </c>
      <c r="D232" s="12" t="s">
        <v>483</v>
      </c>
      <c r="E232" s="12">
        <v>111</v>
      </c>
      <c r="F232" s="12">
        <v>77</v>
      </c>
      <c r="G232" s="12"/>
    </row>
    <row r="233" spans="1:7" ht="14.4" x14ac:dyDescent="0.3">
      <c r="A233" s="12" t="s">
        <v>667</v>
      </c>
      <c r="B233" s="12" t="s">
        <v>575</v>
      </c>
      <c r="C233" s="12" t="s">
        <v>714</v>
      </c>
      <c r="D233" s="12" t="s">
        <v>483</v>
      </c>
      <c r="E233" s="12">
        <v>113</v>
      </c>
      <c r="F233" s="12">
        <v>78</v>
      </c>
      <c r="G233" s="12">
        <v>49</v>
      </c>
    </row>
    <row r="234" spans="1:7" ht="14.4" x14ac:dyDescent="0.3">
      <c r="A234" s="12" t="s">
        <v>667</v>
      </c>
      <c r="B234" s="12" t="s">
        <v>576</v>
      </c>
      <c r="C234" s="12" t="s">
        <v>715</v>
      </c>
      <c r="D234" s="12" t="s">
        <v>483</v>
      </c>
      <c r="E234" s="12">
        <v>115</v>
      </c>
      <c r="F234" s="12">
        <v>79</v>
      </c>
      <c r="G234" s="12">
        <v>50</v>
      </c>
    </row>
    <row r="235" spans="1:7" ht="14.4" x14ac:dyDescent="0.3">
      <c r="A235" s="12" t="s">
        <v>667</v>
      </c>
      <c r="B235" s="12" t="s">
        <v>664</v>
      </c>
      <c r="C235" s="12" t="s">
        <v>669</v>
      </c>
      <c r="D235" s="12" t="s">
        <v>474</v>
      </c>
      <c r="E235" s="12">
        <v>73</v>
      </c>
      <c r="F235" s="12"/>
      <c r="G235" s="12"/>
    </row>
    <row r="236" spans="1:7" ht="14.4" x14ac:dyDescent="0.3">
      <c r="A236" s="12" t="s">
        <v>667</v>
      </c>
      <c r="B236" s="12" t="s">
        <v>627</v>
      </c>
      <c r="C236" s="12" t="s">
        <v>669</v>
      </c>
      <c r="D236" s="12" t="s">
        <v>474</v>
      </c>
      <c r="E236" s="12">
        <v>138</v>
      </c>
      <c r="F236" s="12">
        <v>94</v>
      </c>
      <c r="G236" s="12">
        <v>60</v>
      </c>
    </row>
    <row r="237" spans="1:7" ht="14.4" x14ac:dyDescent="0.3">
      <c r="A237" s="12" t="s">
        <v>667</v>
      </c>
      <c r="B237" s="12" t="s">
        <v>543</v>
      </c>
      <c r="C237" s="12" t="s">
        <v>669</v>
      </c>
      <c r="D237" s="12" t="s">
        <v>591</v>
      </c>
      <c r="E237" s="12">
        <v>68</v>
      </c>
      <c r="F237" s="12">
        <v>48</v>
      </c>
      <c r="G237" s="12">
        <v>32</v>
      </c>
    </row>
    <row r="238" spans="1:7" ht="14.4" x14ac:dyDescent="0.3">
      <c r="A238" s="12" t="s">
        <v>667</v>
      </c>
      <c r="B238" s="12" t="s">
        <v>485</v>
      </c>
      <c r="C238" s="12" t="s">
        <v>669</v>
      </c>
      <c r="D238" s="12" t="s">
        <v>476</v>
      </c>
      <c r="E238" s="12">
        <v>29</v>
      </c>
      <c r="F238" s="12">
        <v>22</v>
      </c>
      <c r="G238" s="12">
        <v>15</v>
      </c>
    </row>
    <row r="239" spans="1:7" ht="14.4" x14ac:dyDescent="0.3">
      <c r="A239" s="12" t="s">
        <v>667</v>
      </c>
      <c r="B239" s="12" t="s">
        <v>579</v>
      </c>
      <c r="C239" s="12" t="s">
        <v>669</v>
      </c>
      <c r="D239" s="12" t="s">
        <v>450</v>
      </c>
      <c r="E239" s="12">
        <v>125</v>
      </c>
      <c r="F239" s="12"/>
      <c r="G239" s="12"/>
    </row>
    <row r="240" spans="1:7" ht="14.4" x14ac:dyDescent="0.3">
      <c r="A240" s="12" t="s">
        <v>667</v>
      </c>
      <c r="B240" s="12" t="s">
        <v>477</v>
      </c>
      <c r="C240" s="12" t="s">
        <v>669</v>
      </c>
      <c r="D240" s="12" t="s">
        <v>483</v>
      </c>
      <c r="E240" s="12">
        <v>48</v>
      </c>
      <c r="F240" s="12">
        <v>35</v>
      </c>
      <c r="G240" s="12"/>
    </row>
    <row r="241" spans="1:7" ht="14.4" x14ac:dyDescent="0.3">
      <c r="A241" s="12" t="s">
        <v>667</v>
      </c>
      <c r="B241" s="12" t="s">
        <v>598</v>
      </c>
      <c r="C241" s="12" t="s">
        <v>669</v>
      </c>
      <c r="D241" s="12" t="s">
        <v>483</v>
      </c>
      <c r="E241" s="12">
        <v>81</v>
      </c>
      <c r="F241" s="12">
        <v>56</v>
      </c>
      <c r="G241" s="12">
        <v>36</v>
      </c>
    </row>
    <row r="242" spans="1:7" ht="14.4" x14ac:dyDescent="0.3">
      <c r="A242" s="12" t="s">
        <v>667</v>
      </c>
      <c r="B242" s="12" t="s">
        <v>626</v>
      </c>
      <c r="C242" s="12" t="s">
        <v>672</v>
      </c>
      <c r="D242" s="12" t="s">
        <v>474</v>
      </c>
      <c r="E242" s="12">
        <v>137</v>
      </c>
      <c r="F242" s="12">
        <v>93</v>
      </c>
      <c r="G242" s="12">
        <v>59</v>
      </c>
    </row>
    <row r="243" spans="1:7" ht="14.4" x14ac:dyDescent="0.3">
      <c r="A243" s="12" t="s">
        <v>667</v>
      </c>
      <c r="B243" s="12" t="s">
        <v>541</v>
      </c>
      <c r="C243" s="12" t="s">
        <v>672</v>
      </c>
      <c r="D243" s="12" t="s">
        <v>591</v>
      </c>
      <c r="E243" s="12">
        <v>63</v>
      </c>
      <c r="F243" s="12">
        <v>47</v>
      </c>
      <c r="G243" s="12">
        <v>31</v>
      </c>
    </row>
    <row r="244" spans="1:7" ht="14.4" x14ac:dyDescent="0.3">
      <c r="A244" s="12" t="s">
        <v>667</v>
      </c>
      <c r="B244" s="12" t="s">
        <v>484</v>
      </c>
      <c r="C244" s="12" t="s">
        <v>672</v>
      </c>
      <c r="D244" s="12" t="s">
        <v>476</v>
      </c>
      <c r="E244" s="12">
        <v>28</v>
      </c>
      <c r="F244" s="12">
        <v>21</v>
      </c>
      <c r="G244" s="12">
        <v>14</v>
      </c>
    </row>
    <row r="245" spans="1:7" ht="14.4" x14ac:dyDescent="0.3">
      <c r="A245" s="12" t="s">
        <v>667</v>
      </c>
      <c r="B245" s="12" t="s">
        <v>479</v>
      </c>
      <c r="C245" s="12" t="s">
        <v>672</v>
      </c>
      <c r="D245" s="12" t="s">
        <v>450</v>
      </c>
      <c r="E245" s="12">
        <v>49</v>
      </c>
      <c r="F245" s="12">
        <v>36</v>
      </c>
      <c r="G245" s="12"/>
    </row>
    <row r="246" spans="1:7" ht="14.4" x14ac:dyDescent="0.3">
      <c r="A246" s="12" t="s">
        <v>667</v>
      </c>
      <c r="B246" s="12" t="s">
        <v>604</v>
      </c>
      <c r="C246" s="12" t="s">
        <v>672</v>
      </c>
      <c r="D246" s="12" t="s">
        <v>450</v>
      </c>
      <c r="E246" s="12">
        <v>126</v>
      </c>
      <c r="F246" s="12"/>
      <c r="G246" s="12"/>
    </row>
    <row r="247" spans="1:7" ht="14.4" x14ac:dyDescent="0.3">
      <c r="A247" s="12" t="s">
        <v>667</v>
      </c>
      <c r="B247" s="12" t="s">
        <v>596</v>
      </c>
      <c r="C247" s="12" t="s">
        <v>672</v>
      </c>
      <c r="D247" s="12" t="s">
        <v>483</v>
      </c>
      <c r="E247" s="12">
        <v>80</v>
      </c>
      <c r="F247" s="12">
        <v>55</v>
      </c>
      <c r="G247" s="12">
        <v>35</v>
      </c>
    </row>
    <row r="248" spans="1:7" ht="14.4" x14ac:dyDescent="0.3">
      <c r="A248" s="12" t="s">
        <v>667</v>
      </c>
      <c r="B248" s="12" t="s">
        <v>490</v>
      </c>
      <c r="C248" s="12" t="s">
        <v>671</v>
      </c>
      <c r="D248" s="12" t="s">
        <v>474</v>
      </c>
      <c r="E248" s="12">
        <v>122</v>
      </c>
      <c r="F248" s="12">
        <v>85</v>
      </c>
      <c r="G248" s="12">
        <v>54</v>
      </c>
    </row>
    <row r="249" spans="1:7" ht="14.4" x14ac:dyDescent="0.3">
      <c r="A249" s="12" t="s">
        <v>667</v>
      </c>
      <c r="B249" s="12" t="s">
        <v>522</v>
      </c>
      <c r="C249" s="12" t="s">
        <v>671</v>
      </c>
      <c r="D249" s="12" t="s">
        <v>591</v>
      </c>
      <c r="E249" s="12">
        <v>41</v>
      </c>
      <c r="F249" s="12">
        <v>28</v>
      </c>
      <c r="G249" s="12">
        <v>19</v>
      </c>
    </row>
    <row r="250" spans="1:7" ht="14.4" x14ac:dyDescent="0.3">
      <c r="A250" s="12" t="s">
        <v>667</v>
      </c>
      <c r="B250" s="12" t="s">
        <v>665</v>
      </c>
      <c r="C250" s="12" t="s">
        <v>671</v>
      </c>
      <c r="D250" s="12" t="s">
        <v>591</v>
      </c>
      <c r="E250" s="12">
        <v>77</v>
      </c>
      <c r="F250" s="12">
        <v>53</v>
      </c>
      <c r="G250" s="12">
        <v>33</v>
      </c>
    </row>
    <row r="251" spans="1:7" ht="14.4" x14ac:dyDescent="0.3">
      <c r="A251" s="12" t="s">
        <v>667</v>
      </c>
      <c r="B251" s="12" t="s">
        <v>640</v>
      </c>
      <c r="C251" s="12" t="s">
        <v>671</v>
      </c>
      <c r="D251" s="12" t="s">
        <v>476</v>
      </c>
      <c r="E251" s="12">
        <v>27</v>
      </c>
      <c r="F251" s="12"/>
      <c r="G251" s="12"/>
    </row>
    <row r="252" spans="1:7" ht="14.4" x14ac:dyDescent="0.3">
      <c r="A252" s="12" t="s">
        <v>667</v>
      </c>
      <c r="B252" s="12" t="s">
        <v>475</v>
      </c>
      <c r="C252" s="12" t="s">
        <v>671</v>
      </c>
      <c r="D252" s="12" t="s">
        <v>483</v>
      </c>
      <c r="E252" s="12">
        <v>47</v>
      </c>
      <c r="F252" s="12">
        <v>34</v>
      </c>
      <c r="G252" s="12"/>
    </row>
    <row r="253" spans="1:7" ht="14.4" x14ac:dyDescent="0.3">
      <c r="A253" s="12" t="s">
        <v>667</v>
      </c>
      <c r="B253" s="12" t="s">
        <v>632</v>
      </c>
      <c r="C253" s="12" t="s">
        <v>678</v>
      </c>
      <c r="D253" s="12" t="s">
        <v>591</v>
      </c>
      <c r="E253" s="12">
        <v>19</v>
      </c>
      <c r="F253" s="12"/>
      <c r="G253" s="12"/>
    </row>
    <row r="254" spans="1:7" ht="14.4" x14ac:dyDescent="0.3">
      <c r="A254" s="12" t="s">
        <v>667</v>
      </c>
      <c r="B254" s="12" t="s">
        <v>563</v>
      </c>
      <c r="C254" s="12" t="s">
        <v>678</v>
      </c>
      <c r="D254" s="12" t="s">
        <v>591</v>
      </c>
      <c r="E254" s="12">
        <v>101</v>
      </c>
      <c r="F254" s="12">
        <v>70</v>
      </c>
      <c r="G254" s="12">
        <v>45</v>
      </c>
    </row>
    <row r="255" spans="1:7" ht="14.4" x14ac:dyDescent="0.3">
      <c r="A255" s="12" t="s">
        <v>667</v>
      </c>
      <c r="B255" s="12" t="s">
        <v>626</v>
      </c>
      <c r="C255" s="12" t="s">
        <v>678</v>
      </c>
      <c r="D255" s="12" t="s">
        <v>450</v>
      </c>
      <c r="E255" s="12">
        <v>137</v>
      </c>
      <c r="F255" s="12">
        <v>93</v>
      </c>
      <c r="G255" s="12">
        <v>59</v>
      </c>
    </row>
    <row r="256" spans="1:7" ht="14.4" x14ac:dyDescent="0.3">
      <c r="A256" s="12" t="s">
        <v>667</v>
      </c>
      <c r="B256" s="12" t="s">
        <v>586</v>
      </c>
      <c r="C256" s="12" t="s">
        <v>678</v>
      </c>
      <c r="D256" s="12" t="s">
        <v>483</v>
      </c>
      <c r="E256" s="12">
        <v>135</v>
      </c>
      <c r="F256" s="12">
        <v>91</v>
      </c>
      <c r="G256" s="12">
        <v>57</v>
      </c>
    </row>
    <row r="257" spans="1:7" ht="14.4" x14ac:dyDescent="0.3">
      <c r="A257" s="12" t="s">
        <v>667</v>
      </c>
      <c r="B257" s="12" t="s">
        <v>553</v>
      </c>
      <c r="C257" s="12" t="s">
        <v>686</v>
      </c>
      <c r="D257" s="12" t="s">
        <v>591</v>
      </c>
      <c r="E257" s="12">
        <v>85</v>
      </c>
      <c r="F257" s="12">
        <v>58</v>
      </c>
      <c r="G257" s="12">
        <v>38</v>
      </c>
    </row>
    <row r="258" spans="1:7" ht="14.4" x14ac:dyDescent="0.3">
      <c r="A258" s="12" t="s">
        <v>667</v>
      </c>
      <c r="B258" s="12" t="s">
        <v>644</v>
      </c>
      <c r="C258" s="12" t="s">
        <v>686</v>
      </c>
      <c r="D258" s="12" t="s">
        <v>476</v>
      </c>
      <c r="E258" s="12">
        <v>36</v>
      </c>
      <c r="F258" s="12"/>
      <c r="G258" s="12"/>
    </row>
    <row r="259" spans="1:7" ht="14.4" x14ac:dyDescent="0.3">
      <c r="A259" s="12" t="s">
        <v>667</v>
      </c>
      <c r="B259" s="12" t="s">
        <v>562</v>
      </c>
      <c r="C259" s="12" t="s">
        <v>686</v>
      </c>
      <c r="D259" s="12" t="s">
        <v>463</v>
      </c>
      <c r="E259" s="12">
        <v>100</v>
      </c>
      <c r="F259" s="12">
        <v>69</v>
      </c>
      <c r="G259" s="12">
        <v>44</v>
      </c>
    </row>
    <row r="260" spans="1:7" ht="14.4" x14ac:dyDescent="0.3">
      <c r="A260" s="12" t="s">
        <v>667</v>
      </c>
      <c r="B260" s="12" t="s">
        <v>577</v>
      </c>
      <c r="C260" s="12" t="s">
        <v>689</v>
      </c>
      <c r="D260" s="12" t="s">
        <v>591</v>
      </c>
      <c r="E260" s="12">
        <v>119</v>
      </c>
      <c r="F260" s="12">
        <v>82</v>
      </c>
      <c r="G260" s="12"/>
    </row>
    <row r="261" spans="1:7" ht="14.4" x14ac:dyDescent="0.3">
      <c r="A261" s="12" t="s">
        <v>667</v>
      </c>
      <c r="B261" s="12" t="s">
        <v>556</v>
      </c>
      <c r="C261" s="12" t="s">
        <v>687</v>
      </c>
      <c r="D261" s="12" t="s">
        <v>591</v>
      </c>
      <c r="E261" s="12">
        <v>93</v>
      </c>
      <c r="F261" s="12">
        <v>63</v>
      </c>
      <c r="G261" s="12"/>
    </row>
    <row r="262" spans="1:7" ht="14.4" x14ac:dyDescent="0.3">
      <c r="A262" s="12" t="s">
        <v>667</v>
      </c>
      <c r="B262" s="12" t="s">
        <v>604</v>
      </c>
      <c r="C262" s="12" t="s">
        <v>687</v>
      </c>
      <c r="D262" s="12" t="s">
        <v>476</v>
      </c>
      <c r="E262" s="12">
        <v>126</v>
      </c>
      <c r="F262" s="12"/>
      <c r="G262" s="12"/>
    </row>
    <row r="263" spans="1:7" ht="14.4" x14ac:dyDescent="0.3">
      <c r="A263" s="12" t="s">
        <v>667</v>
      </c>
      <c r="B263" s="12" t="s">
        <v>579</v>
      </c>
      <c r="C263" s="12" t="s">
        <v>705</v>
      </c>
      <c r="D263" s="12" t="s">
        <v>476</v>
      </c>
      <c r="E263" s="12">
        <v>125</v>
      </c>
      <c r="F263" s="12"/>
      <c r="G263" s="12"/>
    </row>
    <row r="264" spans="1:7" ht="14.4" x14ac:dyDescent="0.3">
      <c r="A264" s="12" t="s">
        <v>667</v>
      </c>
      <c r="B264" s="12" t="s">
        <v>500</v>
      </c>
      <c r="C264" s="12" t="s">
        <v>675</v>
      </c>
      <c r="D264" s="12" t="s">
        <v>591</v>
      </c>
      <c r="E264" s="12">
        <v>4</v>
      </c>
      <c r="F264" s="12">
        <v>4</v>
      </c>
      <c r="G264" s="12">
        <v>2</v>
      </c>
    </row>
    <row r="265" spans="1:7" ht="14.4" x14ac:dyDescent="0.3">
      <c r="A265" s="12" t="s">
        <v>667</v>
      </c>
      <c r="B265" s="12" t="s">
        <v>636</v>
      </c>
      <c r="C265" s="12" t="s">
        <v>675</v>
      </c>
      <c r="D265" s="12" t="s">
        <v>591</v>
      </c>
      <c r="E265" s="12">
        <v>24</v>
      </c>
      <c r="F265" s="12"/>
      <c r="G265" s="12"/>
    </row>
    <row r="266" spans="1:7" ht="14.4" x14ac:dyDescent="0.3">
      <c r="A266" s="12" t="s">
        <v>667</v>
      </c>
      <c r="B266" s="12" t="s">
        <v>512</v>
      </c>
      <c r="C266" s="12" t="s">
        <v>675</v>
      </c>
      <c r="D266" s="12" t="s">
        <v>591</v>
      </c>
      <c r="E266" s="12">
        <v>30</v>
      </c>
      <c r="F266" s="12">
        <v>23</v>
      </c>
      <c r="G266" s="12">
        <v>16</v>
      </c>
    </row>
    <row r="267" spans="1:7" ht="14.4" x14ac:dyDescent="0.3">
      <c r="A267" s="12" t="s">
        <v>667</v>
      </c>
      <c r="B267" s="12" t="s">
        <v>559</v>
      </c>
      <c r="C267" s="12" t="s">
        <v>675</v>
      </c>
      <c r="D267" s="12" t="s">
        <v>591</v>
      </c>
      <c r="E267" s="12">
        <v>96</v>
      </c>
      <c r="F267" s="12">
        <v>66</v>
      </c>
      <c r="G267" s="12"/>
    </row>
    <row r="268" spans="1:7" ht="14.4" x14ac:dyDescent="0.3">
      <c r="A268" s="12" t="s">
        <v>667</v>
      </c>
      <c r="B268" s="12" t="s">
        <v>625</v>
      </c>
      <c r="C268" s="12" t="s">
        <v>675</v>
      </c>
      <c r="D268" s="12" t="s">
        <v>476</v>
      </c>
      <c r="E268" s="12">
        <v>144</v>
      </c>
      <c r="F268" s="12">
        <v>100</v>
      </c>
      <c r="G268" s="12"/>
    </row>
    <row r="269" spans="1:7" ht="14.4" x14ac:dyDescent="0.3">
      <c r="A269" s="12" t="s">
        <v>667</v>
      </c>
      <c r="B269" s="12" t="s">
        <v>565</v>
      </c>
      <c r="C269" s="12" t="s">
        <v>675</v>
      </c>
      <c r="D269" s="12" t="s">
        <v>463</v>
      </c>
      <c r="E269" s="12">
        <v>104</v>
      </c>
      <c r="F269" s="12">
        <v>72</v>
      </c>
      <c r="G269" s="12">
        <v>47</v>
      </c>
    </row>
    <row r="270" spans="1:7" ht="14.4" x14ac:dyDescent="0.3">
      <c r="A270" s="12" t="s">
        <v>667</v>
      </c>
      <c r="B270" s="12" t="s">
        <v>504</v>
      </c>
      <c r="C270" s="12" t="s">
        <v>679</v>
      </c>
      <c r="D270" s="12" t="s">
        <v>591</v>
      </c>
      <c r="E270" s="12">
        <v>21</v>
      </c>
      <c r="F270" s="12">
        <v>18</v>
      </c>
      <c r="G270" s="12">
        <v>13</v>
      </c>
    </row>
    <row r="271" spans="1:7" ht="14.4" x14ac:dyDescent="0.3">
      <c r="A271" s="12" t="s">
        <v>667</v>
      </c>
      <c r="B271" s="12" t="s">
        <v>558</v>
      </c>
      <c r="C271" s="12" t="s">
        <v>679</v>
      </c>
      <c r="D271" s="12" t="s">
        <v>591</v>
      </c>
      <c r="E271" s="12">
        <v>95</v>
      </c>
      <c r="F271" s="12">
        <v>65</v>
      </c>
      <c r="G271" s="12"/>
    </row>
    <row r="272" spans="1:7" ht="14.4" x14ac:dyDescent="0.3">
      <c r="A272" s="12" t="s">
        <v>667</v>
      </c>
      <c r="B272" s="12" t="s">
        <v>624</v>
      </c>
      <c r="C272" s="12" t="s">
        <v>679</v>
      </c>
      <c r="D272" s="12" t="s">
        <v>476</v>
      </c>
      <c r="E272" s="12">
        <v>143</v>
      </c>
      <c r="F272" s="12">
        <v>99</v>
      </c>
      <c r="G272" s="12"/>
    </row>
    <row r="273" spans="1:7" ht="14.4" x14ac:dyDescent="0.3">
      <c r="A273" s="12" t="s">
        <v>667</v>
      </c>
      <c r="B273" s="12" t="s">
        <v>638</v>
      </c>
      <c r="C273" s="12" t="s">
        <v>679</v>
      </c>
      <c r="D273" s="12" t="s">
        <v>450</v>
      </c>
      <c r="E273" s="12">
        <v>26</v>
      </c>
      <c r="F273" s="12"/>
      <c r="G273" s="12"/>
    </row>
    <row r="274" spans="1:7" ht="14.4" x14ac:dyDescent="0.3">
      <c r="A274" s="12" t="s">
        <v>667</v>
      </c>
      <c r="B274" s="12" t="s">
        <v>567</v>
      </c>
      <c r="C274" s="12" t="s">
        <v>679</v>
      </c>
      <c r="D274" s="12" t="s">
        <v>463</v>
      </c>
      <c r="E274" s="12">
        <v>105</v>
      </c>
      <c r="F274" s="12">
        <v>73</v>
      </c>
      <c r="G274" s="12">
        <v>48</v>
      </c>
    </row>
    <row r="275" spans="1:7" ht="14.4" x14ac:dyDescent="0.3">
      <c r="A275" s="12" t="s">
        <v>667</v>
      </c>
      <c r="B275" s="12" t="s">
        <v>634</v>
      </c>
      <c r="C275" s="12" t="s">
        <v>680</v>
      </c>
      <c r="D275" s="12" t="s">
        <v>591</v>
      </c>
      <c r="E275" s="12">
        <v>22</v>
      </c>
      <c r="F275" s="12"/>
      <c r="G275" s="12"/>
    </row>
    <row r="276" spans="1:7" ht="14.4" x14ac:dyDescent="0.3">
      <c r="A276" s="12" t="s">
        <v>667</v>
      </c>
      <c r="B276" s="12" t="s">
        <v>557</v>
      </c>
      <c r="C276" s="12" t="s">
        <v>680</v>
      </c>
      <c r="D276" s="12" t="s">
        <v>591</v>
      </c>
      <c r="E276" s="12">
        <v>94</v>
      </c>
      <c r="F276" s="12">
        <v>64</v>
      </c>
      <c r="G276" s="12"/>
    </row>
    <row r="277" spans="1:7" ht="14.4" x14ac:dyDescent="0.3">
      <c r="A277" s="12" t="s">
        <v>667</v>
      </c>
      <c r="B277" s="12" t="s">
        <v>564</v>
      </c>
      <c r="C277" s="12" t="s">
        <v>680</v>
      </c>
      <c r="D277" s="12" t="s">
        <v>591</v>
      </c>
      <c r="E277" s="12">
        <v>102</v>
      </c>
      <c r="F277" s="12">
        <v>71</v>
      </c>
      <c r="G277" s="12">
        <v>46</v>
      </c>
    </row>
    <row r="278" spans="1:7" ht="14.4" x14ac:dyDescent="0.3">
      <c r="A278" s="12" t="s">
        <v>667</v>
      </c>
      <c r="B278" s="12" t="s">
        <v>627</v>
      </c>
      <c r="C278" s="12" t="s">
        <v>680</v>
      </c>
      <c r="D278" s="12" t="s">
        <v>450</v>
      </c>
      <c r="E278" s="12">
        <v>138</v>
      </c>
      <c r="F278" s="12">
        <v>94</v>
      </c>
      <c r="G278" s="12">
        <v>60</v>
      </c>
    </row>
    <row r="279" spans="1:7" ht="14.4" x14ac:dyDescent="0.3">
      <c r="A279" s="12" t="s">
        <v>667</v>
      </c>
      <c r="B279" s="12" t="s">
        <v>481</v>
      </c>
      <c r="C279" s="12" t="s">
        <v>668</v>
      </c>
      <c r="D279" s="12" t="s">
        <v>474</v>
      </c>
      <c r="E279" s="12">
        <v>5</v>
      </c>
      <c r="F279" s="12">
        <v>5</v>
      </c>
      <c r="G279" s="12">
        <v>3</v>
      </c>
    </row>
    <row r="280" spans="1:7" ht="14.4" x14ac:dyDescent="0.3">
      <c r="A280" s="12" t="s">
        <v>667</v>
      </c>
      <c r="B280" s="12" t="s">
        <v>539</v>
      </c>
      <c r="C280" s="12" t="s">
        <v>668</v>
      </c>
      <c r="D280" s="12" t="s">
        <v>591</v>
      </c>
      <c r="E280" s="12">
        <v>61</v>
      </c>
      <c r="F280" s="12">
        <v>46</v>
      </c>
      <c r="G280" s="12">
        <v>30</v>
      </c>
    </row>
    <row r="281" spans="1:7" ht="14.4" x14ac:dyDescent="0.3">
      <c r="A281" s="12" t="s">
        <v>667</v>
      </c>
      <c r="B281" s="12" t="s">
        <v>624</v>
      </c>
      <c r="C281" s="12" t="s">
        <v>668</v>
      </c>
      <c r="D281" s="12" t="s">
        <v>591</v>
      </c>
      <c r="E281" s="12">
        <v>143</v>
      </c>
      <c r="F281" s="12">
        <v>99</v>
      </c>
      <c r="G281" s="12"/>
    </row>
    <row r="282" spans="1:7" ht="14.4" x14ac:dyDescent="0.3">
      <c r="A282" s="12" t="s">
        <v>667</v>
      </c>
      <c r="B282" s="12" t="s">
        <v>697</v>
      </c>
      <c r="C282" s="12" t="s">
        <v>668</v>
      </c>
      <c r="D282" s="12" t="s">
        <v>450</v>
      </c>
      <c r="E282" s="12">
        <v>62</v>
      </c>
      <c r="F282" s="12"/>
      <c r="G282" s="12"/>
    </row>
    <row r="283" spans="1:7" ht="14.4" x14ac:dyDescent="0.3">
      <c r="A283" s="12" t="s">
        <v>667</v>
      </c>
      <c r="B283" s="12" t="s">
        <v>607</v>
      </c>
      <c r="C283" s="12" t="s">
        <v>676</v>
      </c>
      <c r="D283" s="12" t="s">
        <v>591</v>
      </c>
      <c r="E283" s="12">
        <v>6</v>
      </c>
      <c r="F283" s="12">
        <v>6</v>
      </c>
      <c r="G283" s="12">
        <v>4</v>
      </c>
    </row>
    <row r="284" spans="1:7" ht="14.4" x14ac:dyDescent="0.3">
      <c r="A284" s="12" t="s">
        <v>667</v>
      </c>
      <c r="B284" s="12" t="s">
        <v>547</v>
      </c>
      <c r="C284" s="12" t="s">
        <v>676</v>
      </c>
      <c r="D284" s="12" t="s">
        <v>476</v>
      </c>
      <c r="E284" s="12">
        <v>71</v>
      </c>
      <c r="F284" s="12">
        <v>50</v>
      </c>
      <c r="G284" s="12"/>
    </row>
    <row r="285" spans="1:7" ht="14.4" x14ac:dyDescent="0.3">
      <c r="A285" s="12" t="s">
        <v>667</v>
      </c>
      <c r="B285" s="12" t="s">
        <v>551</v>
      </c>
      <c r="C285" s="12" t="s">
        <v>676</v>
      </c>
      <c r="D285" s="12" t="s">
        <v>476</v>
      </c>
      <c r="E285" s="12">
        <v>75</v>
      </c>
      <c r="F285" s="12">
        <v>52</v>
      </c>
      <c r="G285" s="12"/>
    </row>
    <row r="286" spans="1:7" ht="14.4" x14ac:dyDescent="0.3">
      <c r="A286" s="12" t="s">
        <v>667</v>
      </c>
      <c r="B286" s="12" t="s">
        <v>663</v>
      </c>
      <c r="C286" s="12" t="s">
        <v>676</v>
      </c>
      <c r="D286" s="12" t="s">
        <v>450</v>
      </c>
      <c r="E286" s="12">
        <v>72</v>
      </c>
      <c r="F286" s="12"/>
      <c r="G286" s="12"/>
    </row>
    <row r="287" spans="1:7" ht="14.4" x14ac:dyDescent="0.3">
      <c r="A287" s="12" t="s">
        <v>667</v>
      </c>
      <c r="B287" s="12" t="s">
        <v>608</v>
      </c>
      <c r="C287" s="12" t="s">
        <v>677</v>
      </c>
      <c r="D287" s="12" t="s">
        <v>591</v>
      </c>
      <c r="E287" s="12">
        <v>7</v>
      </c>
      <c r="F287" s="12">
        <v>7</v>
      </c>
      <c r="G287" s="12"/>
    </row>
    <row r="288" spans="1:7" ht="14.4" x14ac:dyDescent="0.3">
      <c r="A288" s="12" t="s">
        <v>667</v>
      </c>
      <c r="B288" s="12" t="s">
        <v>578</v>
      </c>
      <c r="C288" s="12" t="s">
        <v>704</v>
      </c>
      <c r="D288" s="12" t="s">
        <v>476</v>
      </c>
      <c r="E288" s="12">
        <v>120</v>
      </c>
      <c r="F288" s="12">
        <v>83</v>
      </c>
      <c r="G288" s="12"/>
    </row>
    <row r="289" spans="1:7" ht="14.4" x14ac:dyDescent="0.3">
      <c r="A289" s="12" t="s">
        <v>667</v>
      </c>
      <c r="B289" s="12" t="s">
        <v>606</v>
      </c>
      <c r="C289" s="12" t="s">
        <v>674</v>
      </c>
      <c r="D289" s="12" t="s">
        <v>591</v>
      </c>
      <c r="E289" s="12">
        <v>2</v>
      </c>
      <c r="F289" s="12">
        <v>2</v>
      </c>
      <c r="G289" s="12"/>
    </row>
    <row r="290" spans="1:7" ht="14.4" x14ac:dyDescent="0.3">
      <c r="A290" s="12" t="s">
        <v>667</v>
      </c>
      <c r="B290" s="12" t="s">
        <v>537</v>
      </c>
      <c r="C290" s="12" t="s">
        <v>674</v>
      </c>
      <c r="D290" s="12" t="s">
        <v>591</v>
      </c>
      <c r="E290" s="12">
        <v>59</v>
      </c>
      <c r="F290" s="12">
        <v>45</v>
      </c>
      <c r="G290" s="12">
        <v>29</v>
      </c>
    </row>
    <row r="291" spans="1:7" ht="14.4" x14ac:dyDescent="0.3">
      <c r="A291" s="12" t="s">
        <v>667</v>
      </c>
      <c r="B291" s="12" t="s">
        <v>662</v>
      </c>
      <c r="C291" s="12" t="s">
        <v>674</v>
      </c>
      <c r="D291" s="12" t="s">
        <v>450</v>
      </c>
      <c r="E291" s="12">
        <v>69</v>
      </c>
      <c r="F291" s="12"/>
      <c r="G291" s="12"/>
    </row>
    <row r="292" spans="1:7" ht="14.4" x14ac:dyDescent="0.3">
      <c r="A292" s="12" t="s">
        <v>667</v>
      </c>
      <c r="B292" s="12" t="s">
        <v>605</v>
      </c>
      <c r="C292" s="12" t="s">
        <v>673</v>
      </c>
      <c r="D292" s="12" t="s">
        <v>591</v>
      </c>
      <c r="E292" s="12">
        <v>1</v>
      </c>
      <c r="F292" s="12">
        <v>1</v>
      </c>
      <c r="G292" s="12"/>
    </row>
    <row r="293" spans="1:7" ht="14.4" x14ac:dyDescent="0.3">
      <c r="A293" s="12" t="s">
        <v>667</v>
      </c>
      <c r="B293" s="12" t="s">
        <v>532</v>
      </c>
      <c r="C293" s="12" t="s">
        <v>673</v>
      </c>
      <c r="D293" s="12" t="s">
        <v>591</v>
      </c>
      <c r="E293" s="12">
        <v>53</v>
      </c>
      <c r="F293" s="12">
        <v>40</v>
      </c>
      <c r="G293" s="12">
        <v>26</v>
      </c>
    </row>
    <row r="294" spans="1:7" ht="14.4" x14ac:dyDescent="0.3">
      <c r="A294" s="12" t="s">
        <v>667</v>
      </c>
      <c r="B294" s="12" t="s">
        <v>661</v>
      </c>
      <c r="C294" s="12" t="s">
        <v>673</v>
      </c>
      <c r="D294" s="12" t="s">
        <v>450</v>
      </c>
      <c r="E294" s="12">
        <v>65</v>
      </c>
      <c r="F294" s="12"/>
      <c r="G294" s="12"/>
    </row>
    <row r="295" spans="1:7" ht="14.4" x14ac:dyDescent="0.3">
      <c r="A295" s="12" t="s">
        <v>667</v>
      </c>
      <c r="B295" s="12" t="s">
        <v>531</v>
      </c>
      <c r="C295" s="12" t="s">
        <v>682</v>
      </c>
      <c r="D295" s="12" t="s">
        <v>591</v>
      </c>
      <c r="E295" s="12">
        <v>52</v>
      </c>
      <c r="F295" s="12">
        <v>39</v>
      </c>
      <c r="G295" s="12">
        <v>25</v>
      </c>
    </row>
    <row r="296" spans="1:7" ht="14.4" x14ac:dyDescent="0.3">
      <c r="A296" s="12" t="s">
        <v>667</v>
      </c>
      <c r="B296" s="12" t="s">
        <v>625</v>
      </c>
      <c r="C296" s="12" t="s">
        <v>682</v>
      </c>
      <c r="D296" s="12" t="s">
        <v>591</v>
      </c>
      <c r="E296" s="12">
        <v>144</v>
      </c>
      <c r="F296" s="12">
        <v>100</v>
      </c>
      <c r="G296" s="12"/>
    </row>
    <row r="297" spans="1:7" ht="14.4" x14ac:dyDescent="0.3">
      <c r="A297" s="12" t="s">
        <v>667</v>
      </c>
      <c r="B297" s="12" t="s">
        <v>660</v>
      </c>
      <c r="C297" s="12" t="s">
        <v>682</v>
      </c>
      <c r="D297" s="12" t="s">
        <v>450</v>
      </c>
      <c r="E297" s="12">
        <v>64</v>
      </c>
      <c r="F297" s="12"/>
      <c r="G297" s="12"/>
    </row>
    <row r="298" spans="1:7" ht="14.4" x14ac:dyDescent="0.3">
      <c r="A298" s="12" t="s">
        <v>667</v>
      </c>
      <c r="B298" s="12" t="s">
        <v>658</v>
      </c>
      <c r="C298" s="12" t="s">
        <v>688</v>
      </c>
      <c r="D298" s="12" t="s">
        <v>591</v>
      </c>
      <c r="E298" s="12">
        <v>103</v>
      </c>
      <c r="F298" s="12"/>
      <c r="G298" s="12"/>
    </row>
    <row r="299" spans="1:7" ht="14.4" x14ac:dyDescent="0.3">
      <c r="A299" s="12" t="s">
        <v>667</v>
      </c>
      <c r="B299" s="12" t="s">
        <v>582</v>
      </c>
      <c r="C299" s="12" t="s">
        <v>688</v>
      </c>
      <c r="D299" s="12" t="s">
        <v>476</v>
      </c>
      <c r="E299" s="12">
        <v>130</v>
      </c>
      <c r="F299" s="12">
        <v>89</v>
      </c>
      <c r="G299" s="12">
        <v>55</v>
      </c>
    </row>
    <row r="300" spans="1:7" ht="14.4" x14ac:dyDescent="0.3">
      <c r="A300" s="12" t="s">
        <v>667</v>
      </c>
      <c r="B300" s="12" t="s">
        <v>506</v>
      </c>
      <c r="C300" s="12" t="s">
        <v>688</v>
      </c>
      <c r="D300" s="12" t="s">
        <v>450</v>
      </c>
      <c r="E300" s="12">
        <v>23</v>
      </c>
      <c r="F300" s="12">
        <v>19</v>
      </c>
      <c r="G300" s="12"/>
    </row>
    <row r="301" spans="1:7" ht="14.4" x14ac:dyDescent="0.3">
      <c r="A301" s="12" t="s">
        <v>667</v>
      </c>
      <c r="B301" s="12" t="s">
        <v>508</v>
      </c>
      <c r="C301" s="12" t="s">
        <v>688</v>
      </c>
      <c r="D301" s="12" t="s">
        <v>450</v>
      </c>
      <c r="E301" s="12">
        <v>25</v>
      </c>
      <c r="F301" s="12">
        <v>20</v>
      </c>
      <c r="G301" s="12"/>
    </row>
    <row r="302" spans="1:7" ht="14.4" x14ac:dyDescent="0.3">
      <c r="A302" s="12" t="s">
        <v>667</v>
      </c>
      <c r="B302" s="12" t="s">
        <v>556</v>
      </c>
      <c r="C302" s="12" t="s">
        <v>688</v>
      </c>
      <c r="D302" s="12" t="s">
        <v>483</v>
      </c>
      <c r="E302" s="12">
        <v>93</v>
      </c>
      <c r="F302" s="12">
        <v>63</v>
      </c>
      <c r="G302" s="12"/>
    </row>
    <row r="303" spans="1:7" ht="14.4" x14ac:dyDescent="0.3">
      <c r="A303" s="12" t="s">
        <v>667</v>
      </c>
      <c r="B303" s="12" t="s">
        <v>683</v>
      </c>
      <c r="C303" s="12" t="s">
        <v>684</v>
      </c>
      <c r="D303" s="12" t="s">
        <v>591</v>
      </c>
      <c r="E303" s="12">
        <v>58</v>
      </c>
      <c r="F303" s="12"/>
      <c r="G303" s="12"/>
    </row>
    <row r="304" spans="1:7" ht="14.4" x14ac:dyDescent="0.3">
      <c r="A304" s="12" t="s">
        <v>667</v>
      </c>
      <c r="B304" s="12" t="s">
        <v>464</v>
      </c>
      <c r="C304" s="12" t="s">
        <v>684</v>
      </c>
      <c r="D304" s="12" t="s">
        <v>476</v>
      </c>
      <c r="E304" s="12">
        <v>139</v>
      </c>
      <c r="F304" s="12">
        <v>95</v>
      </c>
      <c r="G304" s="12">
        <v>61</v>
      </c>
    </row>
    <row r="305" spans="1:7" ht="14.4" x14ac:dyDescent="0.3">
      <c r="A305" s="12" t="s">
        <v>667</v>
      </c>
      <c r="B305" s="12" t="s">
        <v>518</v>
      </c>
      <c r="C305" s="12" t="s">
        <v>684</v>
      </c>
      <c r="D305" s="12" t="s">
        <v>450</v>
      </c>
      <c r="E305" s="12">
        <v>39</v>
      </c>
      <c r="F305" s="12">
        <v>26</v>
      </c>
      <c r="G305" s="12">
        <v>17</v>
      </c>
    </row>
    <row r="306" spans="1:7" ht="14.4" x14ac:dyDescent="0.3">
      <c r="A306" s="12" t="s">
        <v>667</v>
      </c>
      <c r="B306" s="12" t="s">
        <v>560</v>
      </c>
      <c r="C306" s="12" t="s">
        <v>711</v>
      </c>
      <c r="D306" s="12" t="s">
        <v>483</v>
      </c>
      <c r="E306" s="12">
        <v>97</v>
      </c>
      <c r="F306" s="12">
        <v>67</v>
      </c>
      <c r="G306" s="12">
        <v>42</v>
      </c>
    </row>
    <row r="307" spans="1:7" ht="14.4" x14ac:dyDescent="0.3">
      <c r="A307" s="12" t="s">
        <v>667</v>
      </c>
      <c r="B307" s="12" t="s">
        <v>561</v>
      </c>
      <c r="C307" s="12" t="s">
        <v>712</v>
      </c>
      <c r="D307" s="12" t="s">
        <v>483</v>
      </c>
      <c r="E307" s="12">
        <v>98</v>
      </c>
      <c r="F307" s="12">
        <v>68</v>
      </c>
      <c r="G307" s="12">
        <v>43</v>
      </c>
    </row>
    <row r="308" spans="1:7" ht="14.4" x14ac:dyDescent="0.3">
      <c r="A308" s="12" t="s">
        <v>667</v>
      </c>
      <c r="B308" s="12" t="s">
        <v>493</v>
      </c>
      <c r="C308" s="12" t="s">
        <v>691</v>
      </c>
      <c r="D308" s="12" t="s">
        <v>476</v>
      </c>
      <c r="E308" s="12">
        <v>17</v>
      </c>
      <c r="F308" s="12">
        <v>15</v>
      </c>
      <c r="G308" s="12">
        <v>11</v>
      </c>
    </row>
    <row r="309" spans="1:7" ht="14.4" x14ac:dyDescent="0.3">
      <c r="A309" s="12" t="s">
        <v>667</v>
      </c>
      <c r="B309" s="12" t="s">
        <v>584</v>
      </c>
      <c r="C309" s="12" t="s">
        <v>691</v>
      </c>
      <c r="D309" s="12" t="s">
        <v>476</v>
      </c>
      <c r="E309" s="12">
        <v>134</v>
      </c>
      <c r="F309" s="12">
        <v>90</v>
      </c>
      <c r="G309" s="12">
        <v>56</v>
      </c>
    </row>
    <row r="310" spans="1:7" ht="14.4" x14ac:dyDescent="0.3">
      <c r="A310" s="12" t="s">
        <v>667</v>
      </c>
      <c r="B310" s="12" t="s">
        <v>554</v>
      </c>
      <c r="C310" s="12" t="s">
        <v>691</v>
      </c>
      <c r="D310" s="12" t="s">
        <v>483</v>
      </c>
      <c r="E310" s="12">
        <v>87</v>
      </c>
      <c r="F310" s="12">
        <v>59</v>
      </c>
      <c r="G310" s="12">
        <v>39</v>
      </c>
    </row>
    <row r="311" spans="1:7" ht="14.4" x14ac:dyDescent="0.3">
      <c r="A311" s="12" t="s">
        <v>667</v>
      </c>
      <c r="B311" s="12" t="s">
        <v>533</v>
      </c>
      <c r="C311" s="12" t="s">
        <v>691</v>
      </c>
      <c r="D311" s="12" t="s">
        <v>463</v>
      </c>
      <c r="E311" s="12">
        <v>56</v>
      </c>
      <c r="F311" s="12">
        <v>43</v>
      </c>
      <c r="G311" s="12">
        <v>27</v>
      </c>
    </row>
    <row r="312" spans="1:7" ht="14.4" x14ac:dyDescent="0.3">
      <c r="A312" s="12" t="s">
        <v>667</v>
      </c>
      <c r="B312" s="12" t="s">
        <v>495</v>
      </c>
      <c r="C312" s="12" t="s">
        <v>692</v>
      </c>
      <c r="D312" s="12" t="s">
        <v>476</v>
      </c>
      <c r="E312" s="12">
        <v>18</v>
      </c>
      <c r="F312" s="12">
        <v>16</v>
      </c>
      <c r="G312" s="12">
        <v>12</v>
      </c>
    </row>
    <row r="313" spans="1:7" ht="14.4" x14ac:dyDescent="0.3">
      <c r="A313" s="12" t="s">
        <v>667</v>
      </c>
      <c r="B313" s="12" t="s">
        <v>586</v>
      </c>
      <c r="C313" s="12" t="s">
        <v>692</v>
      </c>
      <c r="D313" s="12" t="s">
        <v>476</v>
      </c>
      <c r="E313" s="12">
        <v>135</v>
      </c>
      <c r="F313" s="12">
        <v>91</v>
      </c>
      <c r="G313" s="12">
        <v>57</v>
      </c>
    </row>
    <row r="314" spans="1:7" ht="14.4" x14ac:dyDescent="0.3">
      <c r="A314" s="12" t="s">
        <v>667</v>
      </c>
      <c r="B314" s="12" t="s">
        <v>535</v>
      </c>
      <c r="C314" s="12" t="s">
        <v>692</v>
      </c>
      <c r="D314" s="12" t="s">
        <v>483</v>
      </c>
      <c r="E314" s="12">
        <v>57</v>
      </c>
      <c r="F314" s="12">
        <v>44</v>
      </c>
      <c r="G314" s="12">
        <v>28</v>
      </c>
    </row>
    <row r="315" spans="1:7" ht="14.4" x14ac:dyDescent="0.3">
      <c r="A315" s="12" t="s">
        <v>667</v>
      </c>
      <c r="B315" s="12" t="s">
        <v>461</v>
      </c>
      <c r="C315" s="12" t="s">
        <v>706</v>
      </c>
      <c r="D315" s="12" t="s">
        <v>476</v>
      </c>
      <c r="E315" s="12">
        <v>136</v>
      </c>
      <c r="F315" s="12">
        <v>92</v>
      </c>
      <c r="G315" s="12">
        <v>58</v>
      </c>
    </row>
    <row r="316" spans="1:7" ht="14.4" x14ac:dyDescent="0.3">
      <c r="A316" s="12" t="s">
        <v>667</v>
      </c>
      <c r="B316" s="12" t="s">
        <v>504</v>
      </c>
      <c r="C316" s="12" t="s">
        <v>706</v>
      </c>
      <c r="D316" s="12" t="s">
        <v>450</v>
      </c>
      <c r="E316" s="12">
        <v>21</v>
      </c>
      <c r="F316" s="12">
        <v>18</v>
      </c>
      <c r="G316" s="12">
        <v>13</v>
      </c>
    </row>
    <row r="317" spans="1:7" ht="14.4" x14ac:dyDescent="0.3">
      <c r="A317" s="12" t="s">
        <v>667</v>
      </c>
      <c r="B317" s="12" t="s">
        <v>555</v>
      </c>
      <c r="C317" s="12" t="s">
        <v>706</v>
      </c>
      <c r="D317" s="12" t="s">
        <v>483</v>
      </c>
      <c r="E317" s="12">
        <v>92</v>
      </c>
      <c r="F317" s="12">
        <v>62</v>
      </c>
      <c r="G317" s="12"/>
    </row>
    <row r="318" spans="1:7" ht="14.4" x14ac:dyDescent="0.3">
      <c r="A318" s="12" t="s">
        <v>667</v>
      </c>
      <c r="B318" s="12" t="s">
        <v>614</v>
      </c>
      <c r="C318" s="12" t="s">
        <v>706</v>
      </c>
      <c r="D318" s="12" t="s">
        <v>463</v>
      </c>
      <c r="E318" s="12">
        <v>55</v>
      </c>
      <c r="F318" s="12">
        <v>42</v>
      </c>
      <c r="G318" s="12"/>
    </row>
    <row r="319" spans="1:7" ht="14.4" x14ac:dyDescent="0.3">
      <c r="A319" s="12" t="s">
        <v>667</v>
      </c>
      <c r="B319" s="12" t="s">
        <v>533</v>
      </c>
      <c r="C319" s="12" t="s">
        <v>693</v>
      </c>
      <c r="D319" s="12" t="s">
        <v>476</v>
      </c>
      <c r="E319" s="12">
        <v>56</v>
      </c>
      <c r="F319" s="12">
        <v>43</v>
      </c>
      <c r="G319" s="12">
        <v>27</v>
      </c>
    </row>
    <row r="320" spans="1:7" ht="14.4" x14ac:dyDescent="0.3">
      <c r="A320" s="12" t="s">
        <v>667</v>
      </c>
      <c r="B320" s="12" t="s">
        <v>524</v>
      </c>
      <c r="C320" s="12" t="s">
        <v>693</v>
      </c>
      <c r="D320" s="12" t="s">
        <v>450</v>
      </c>
      <c r="E320" s="12">
        <v>42</v>
      </c>
      <c r="F320" s="12">
        <v>29</v>
      </c>
      <c r="G320" s="12">
        <v>20</v>
      </c>
    </row>
    <row r="321" spans="1:7" ht="14.4" x14ac:dyDescent="0.3">
      <c r="A321" s="12" t="s">
        <v>667</v>
      </c>
      <c r="B321" s="12" t="s">
        <v>551</v>
      </c>
      <c r="C321" s="12" t="s">
        <v>693</v>
      </c>
      <c r="D321" s="12" t="s">
        <v>450</v>
      </c>
      <c r="E321" s="12">
        <v>75</v>
      </c>
      <c r="F321" s="12">
        <v>52</v>
      </c>
      <c r="G321" s="12"/>
    </row>
    <row r="322" spans="1:7" ht="14.4" x14ac:dyDescent="0.3">
      <c r="A322" s="12" t="s">
        <v>667</v>
      </c>
      <c r="B322" s="12" t="s">
        <v>621</v>
      </c>
      <c r="C322" s="12" t="s">
        <v>693</v>
      </c>
      <c r="D322" s="12" t="s">
        <v>483</v>
      </c>
      <c r="E322" s="12">
        <v>131</v>
      </c>
      <c r="F322" s="12"/>
      <c r="G322" s="12"/>
    </row>
    <row r="323" spans="1:7" ht="14.4" x14ac:dyDescent="0.3">
      <c r="A323" s="12" t="s">
        <v>667</v>
      </c>
      <c r="B323" s="12" t="s">
        <v>574</v>
      </c>
      <c r="C323" s="12" t="s">
        <v>693</v>
      </c>
      <c r="D323" s="12" t="s">
        <v>463</v>
      </c>
      <c r="E323" s="12">
        <v>111</v>
      </c>
      <c r="F323" s="12">
        <v>77</v>
      </c>
      <c r="G323" s="12"/>
    </row>
    <row r="324" spans="1:7" ht="14.4" x14ac:dyDescent="0.3">
      <c r="A324" s="12" t="s">
        <v>667</v>
      </c>
      <c r="B324" s="12" t="s">
        <v>697</v>
      </c>
      <c r="C324" s="12" t="s">
        <v>698</v>
      </c>
      <c r="D324" s="12" t="s">
        <v>476</v>
      </c>
      <c r="E324" s="12">
        <v>62</v>
      </c>
      <c r="F324" s="12"/>
      <c r="G324" s="12"/>
    </row>
    <row r="325" spans="1:7" ht="14.4" x14ac:dyDescent="0.3">
      <c r="A325" s="12" t="s">
        <v>667</v>
      </c>
      <c r="B325" s="12" t="s">
        <v>526</v>
      </c>
      <c r="C325" s="12" t="s">
        <v>698</v>
      </c>
      <c r="D325" s="12" t="s">
        <v>450</v>
      </c>
      <c r="E325" s="12">
        <v>46</v>
      </c>
      <c r="F325" s="12">
        <v>33</v>
      </c>
      <c r="G325" s="12">
        <v>24</v>
      </c>
    </row>
    <row r="326" spans="1:7" ht="14.4" x14ac:dyDescent="0.3">
      <c r="A326" s="12" t="s">
        <v>667</v>
      </c>
      <c r="B326" s="12" t="s">
        <v>708</v>
      </c>
      <c r="C326" s="12" t="s">
        <v>698</v>
      </c>
      <c r="D326" s="12" t="s">
        <v>450</v>
      </c>
      <c r="E326" s="12">
        <v>114</v>
      </c>
      <c r="F326" s="12"/>
      <c r="G326" s="12"/>
    </row>
    <row r="327" spans="1:7" ht="14.4" x14ac:dyDescent="0.3">
      <c r="A327" s="12" t="s">
        <v>667</v>
      </c>
      <c r="B327" s="12" t="s">
        <v>622</v>
      </c>
      <c r="C327" s="12" t="s">
        <v>698</v>
      </c>
      <c r="D327" s="12" t="s">
        <v>483</v>
      </c>
      <c r="E327" s="12">
        <v>132</v>
      </c>
      <c r="F327" s="12"/>
      <c r="G327" s="12"/>
    </row>
    <row r="328" spans="1:7" ht="14.4" x14ac:dyDescent="0.3">
      <c r="A328" s="12" t="s">
        <v>667</v>
      </c>
      <c r="B328" s="12" t="s">
        <v>535</v>
      </c>
      <c r="C328" s="12" t="s">
        <v>694</v>
      </c>
      <c r="D328" s="12" t="s">
        <v>476</v>
      </c>
      <c r="E328" s="12">
        <v>57</v>
      </c>
      <c r="F328" s="12">
        <v>44</v>
      </c>
      <c r="G328" s="12">
        <v>28</v>
      </c>
    </row>
    <row r="329" spans="1:7" ht="14.4" x14ac:dyDescent="0.3">
      <c r="A329" s="12" t="s">
        <v>667</v>
      </c>
      <c r="B329" s="12" t="s">
        <v>486</v>
      </c>
      <c r="C329" s="12" t="s">
        <v>694</v>
      </c>
      <c r="D329" s="12" t="s">
        <v>450</v>
      </c>
      <c r="E329" s="12">
        <v>43</v>
      </c>
      <c r="F329" s="12">
        <v>30</v>
      </c>
      <c r="G329" s="12">
        <v>21</v>
      </c>
    </row>
    <row r="330" spans="1:7" ht="14.4" x14ac:dyDescent="0.3">
      <c r="A330" s="12" t="s">
        <v>667</v>
      </c>
      <c r="B330" s="12" t="s">
        <v>620</v>
      </c>
      <c r="C330" s="12" t="s">
        <v>694</v>
      </c>
      <c r="D330" s="12" t="s">
        <v>483</v>
      </c>
      <c r="E330" s="12">
        <v>129</v>
      </c>
      <c r="F330" s="12"/>
      <c r="G330" s="12"/>
    </row>
    <row r="331" spans="1:7" ht="14.4" x14ac:dyDescent="0.3">
      <c r="A331" s="12" t="s">
        <v>667</v>
      </c>
      <c r="B331" s="12" t="s">
        <v>646</v>
      </c>
      <c r="C331" s="12" t="s">
        <v>694</v>
      </c>
      <c r="D331" s="12" t="s">
        <v>463</v>
      </c>
      <c r="E331" s="12">
        <v>76</v>
      </c>
      <c r="F331" s="12"/>
      <c r="G331" s="12"/>
    </row>
    <row r="332" spans="1:7" ht="14.4" x14ac:dyDescent="0.3">
      <c r="A332" s="12" t="s">
        <v>667</v>
      </c>
      <c r="B332" s="12" t="s">
        <v>571</v>
      </c>
      <c r="C332" s="12" t="s">
        <v>694</v>
      </c>
      <c r="D332" s="12" t="s">
        <v>463</v>
      </c>
      <c r="E332" s="12">
        <v>108</v>
      </c>
      <c r="F332" s="12">
        <v>75</v>
      </c>
      <c r="G332" s="12"/>
    </row>
    <row r="333" spans="1:7" ht="14.4" x14ac:dyDescent="0.3">
      <c r="A333" s="12" t="s">
        <v>667</v>
      </c>
      <c r="B333" s="12" t="s">
        <v>537</v>
      </c>
      <c r="C333" s="12" t="s">
        <v>695</v>
      </c>
      <c r="D333" s="12" t="s">
        <v>476</v>
      </c>
      <c r="E333" s="12">
        <v>59</v>
      </c>
      <c r="F333" s="12">
        <v>45</v>
      </c>
      <c r="G333" s="12">
        <v>29</v>
      </c>
    </row>
    <row r="334" spans="1:7" ht="14.4" x14ac:dyDescent="0.3">
      <c r="A334" s="12" t="s">
        <v>667</v>
      </c>
      <c r="B334" s="12" t="s">
        <v>488</v>
      </c>
      <c r="C334" s="12" t="s">
        <v>695</v>
      </c>
      <c r="D334" s="12" t="s">
        <v>450</v>
      </c>
      <c r="E334" s="12">
        <v>44</v>
      </c>
      <c r="F334" s="12">
        <v>31</v>
      </c>
      <c r="G334" s="12">
        <v>22</v>
      </c>
    </row>
    <row r="335" spans="1:7" ht="14.4" x14ac:dyDescent="0.3">
      <c r="A335" s="12" t="s">
        <v>667</v>
      </c>
      <c r="B335" s="12" t="s">
        <v>619</v>
      </c>
      <c r="C335" s="12" t="s">
        <v>695</v>
      </c>
      <c r="D335" s="12" t="s">
        <v>483</v>
      </c>
      <c r="E335" s="12">
        <v>128</v>
      </c>
      <c r="F335" s="12"/>
      <c r="G335" s="12"/>
    </row>
    <row r="336" spans="1:7" ht="14.4" x14ac:dyDescent="0.3">
      <c r="A336" s="12" t="s">
        <v>667</v>
      </c>
      <c r="B336" s="12" t="s">
        <v>569</v>
      </c>
      <c r="C336" s="12" t="s">
        <v>695</v>
      </c>
      <c r="D336" s="12" t="s">
        <v>463</v>
      </c>
      <c r="E336" s="12">
        <v>107</v>
      </c>
      <c r="F336" s="12">
        <v>74</v>
      </c>
      <c r="G336" s="12"/>
    </row>
    <row r="337" spans="1:7" ht="14.4" x14ac:dyDescent="0.3">
      <c r="A337" s="12" t="s">
        <v>667</v>
      </c>
      <c r="B337" s="12" t="s">
        <v>539</v>
      </c>
      <c r="C337" s="12" t="s">
        <v>696</v>
      </c>
      <c r="D337" s="12" t="s">
        <v>476</v>
      </c>
      <c r="E337" s="12">
        <v>61</v>
      </c>
      <c r="F337" s="12">
        <v>46</v>
      </c>
      <c r="G337" s="12">
        <v>30</v>
      </c>
    </row>
    <row r="338" spans="1:7" ht="14.4" x14ac:dyDescent="0.3">
      <c r="A338" s="12" t="s">
        <v>667</v>
      </c>
      <c r="B338" s="12" t="s">
        <v>593</v>
      </c>
      <c r="C338" s="12" t="s">
        <v>696</v>
      </c>
      <c r="D338" s="12" t="s">
        <v>450</v>
      </c>
      <c r="E338" s="12">
        <v>45</v>
      </c>
      <c r="F338" s="12">
        <v>32</v>
      </c>
      <c r="G338" s="12">
        <v>23</v>
      </c>
    </row>
    <row r="339" spans="1:7" ht="14.4" x14ac:dyDescent="0.3">
      <c r="A339" s="12" t="s">
        <v>667</v>
      </c>
      <c r="B339" s="12" t="s">
        <v>623</v>
      </c>
      <c r="C339" s="12" t="s">
        <v>696</v>
      </c>
      <c r="D339" s="12" t="s">
        <v>483</v>
      </c>
      <c r="E339" s="12">
        <v>133</v>
      </c>
      <c r="F339" s="12"/>
      <c r="G339" s="12"/>
    </row>
    <row r="340" spans="1:7" ht="14.4" x14ac:dyDescent="0.3">
      <c r="A340" s="12" t="s">
        <v>667</v>
      </c>
      <c r="B340" s="12" t="s">
        <v>573</v>
      </c>
      <c r="C340" s="12" t="s">
        <v>696</v>
      </c>
      <c r="D340" s="12" t="s">
        <v>463</v>
      </c>
      <c r="E340" s="12">
        <v>109</v>
      </c>
      <c r="F340" s="12">
        <v>76</v>
      </c>
      <c r="G340" s="12"/>
    </row>
    <row r="341" spans="1:7" ht="14.4" x14ac:dyDescent="0.3">
      <c r="A341" s="12" t="s">
        <v>667</v>
      </c>
      <c r="B341" s="12" t="s">
        <v>598</v>
      </c>
      <c r="C341" s="12" t="s">
        <v>700</v>
      </c>
      <c r="D341" s="12" t="s">
        <v>476</v>
      </c>
      <c r="E341" s="12">
        <v>81</v>
      </c>
      <c r="F341" s="12">
        <v>56</v>
      </c>
      <c r="G341" s="12">
        <v>36</v>
      </c>
    </row>
    <row r="342" spans="1:7" ht="14.4" x14ac:dyDescent="0.3">
      <c r="A342" s="12" t="s">
        <v>667</v>
      </c>
      <c r="B342" s="12" t="s">
        <v>596</v>
      </c>
      <c r="C342" s="12" t="s">
        <v>699</v>
      </c>
      <c r="D342" s="12" t="s">
        <v>476</v>
      </c>
      <c r="E342" s="12">
        <v>80</v>
      </c>
      <c r="F342" s="12">
        <v>55</v>
      </c>
      <c r="G342" s="12">
        <v>35</v>
      </c>
    </row>
    <row r="343" spans="1:7" ht="14.4" x14ac:dyDescent="0.3">
      <c r="A343" s="12" t="s">
        <v>667</v>
      </c>
      <c r="B343" s="12" t="s">
        <v>516</v>
      </c>
      <c r="C343" s="12" t="s">
        <v>707</v>
      </c>
      <c r="D343" s="12" t="s">
        <v>450</v>
      </c>
      <c r="E343" s="12">
        <v>35</v>
      </c>
      <c r="F343" s="12">
        <v>25</v>
      </c>
      <c r="G343" s="12"/>
    </row>
    <row r="344" spans="1:7" ht="14.4" x14ac:dyDescent="0.3">
      <c r="A344" s="12" t="s">
        <v>667</v>
      </c>
      <c r="B344" s="12" t="s">
        <v>562</v>
      </c>
      <c r="C344" s="12" t="s">
        <v>707</v>
      </c>
      <c r="D344" s="12" t="s">
        <v>483</v>
      </c>
      <c r="E344" s="12">
        <v>100</v>
      </c>
      <c r="F344" s="12">
        <v>69</v>
      </c>
      <c r="G344" s="12">
        <v>44</v>
      </c>
    </row>
    <row r="345" spans="1:7" ht="14.4" x14ac:dyDescent="0.3">
      <c r="A345" s="12" t="s">
        <v>667</v>
      </c>
      <c r="B345" s="12" t="s">
        <v>514</v>
      </c>
      <c r="C345" s="12" t="s">
        <v>709</v>
      </c>
      <c r="D345" s="12" t="s">
        <v>483</v>
      </c>
      <c r="E345" s="12">
        <v>34</v>
      </c>
      <c r="F345" s="12">
        <v>24</v>
      </c>
      <c r="G345" s="12"/>
    </row>
    <row r="346" spans="1:7" ht="14.4" x14ac:dyDescent="0.3">
      <c r="A346" s="12" t="s">
        <v>667</v>
      </c>
      <c r="B346" s="12" t="s">
        <v>492</v>
      </c>
      <c r="C346" s="12" t="s">
        <v>710</v>
      </c>
      <c r="D346" s="12" t="s">
        <v>483</v>
      </c>
      <c r="E346" s="12">
        <v>83</v>
      </c>
      <c r="F346" s="12">
        <v>57</v>
      </c>
      <c r="G346" s="12">
        <v>37</v>
      </c>
    </row>
    <row r="347" spans="1:7" ht="14.4" x14ac:dyDescent="0.3">
      <c r="A347" s="12" t="s">
        <v>667</v>
      </c>
      <c r="B347" s="12" t="s">
        <v>479</v>
      </c>
      <c r="C347" s="12" t="s">
        <v>710</v>
      </c>
      <c r="D347" s="12" t="s">
        <v>463</v>
      </c>
      <c r="E347" s="12">
        <v>49</v>
      </c>
      <c r="F347" s="12">
        <v>36</v>
      </c>
      <c r="G347" s="12"/>
    </row>
    <row r="348" spans="1:7" ht="14.4" x14ac:dyDescent="0.3">
      <c r="A348" s="12" t="s">
        <v>667</v>
      </c>
      <c r="B348" s="12" t="s">
        <v>553</v>
      </c>
      <c r="C348" s="12" t="s">
        <v>701</v>
      </c>
      <c r="D348" s="12" t="s">
        <v>476</v>
      </c>
      <c r="E348" s="12">
        <v>85</v>
      </c>
      <c r="F348" s="12">
        <v>58</v>
      </c>
      <c r="G348" s="12">
        <v>38</v>
      </c>
    </row>
    <row r="349" spans="1:7" ht="14.4" x14ac:dyDescent="0.3">
      <c r="A349" s="12" t="s">
        <v>667</v>
      </c>
      <c r="B349" s="12" t="s">
        <v>475</v>
      </c>
      <c r="C349" s="12" t="s">
        <v>701</v>
      </c>
      <c r="D349" s="12" t="s">
        <v>463</v>
      </c>
      <c r="E349" s="12">
        <v>47</v>
      </c>
      <c r="F349" s="12">
        <v>34</v>
      </c>
      <c r="G349" s="12"/>
    </row>
    <row r="350" spans="1:7" ht="14.4" x14ac:dyDescent="0.3">
      <c r="A350" s="12" t="s">
        <v>667</v>
      </c>
      <c r="B350" s="12" t="s">
        <v>554</v>
      </c>
      <c r="C350" s="12" t="s">
        <v>702</v>
      </c>
      <c r="D350" s="12" t="s">
        <v>476</v>
      </c>
      <c r="E350" s="12">
        <v>87</v>
      </c>
      <c r="F350" s="12">
        <v>59</v>
      </c>
      <c r="G350" s="12">
        <v>39</v>
      </c>
    </row>
    <row r="351" spans="1:7" ht="14.4" x14ac:dyDescent="0.3">
      <c r="A351" s="12" t="s">
        <v>667</v>
      </c>
      <c r="B351" s="12" t="s">
        <v>477</v>
      </c>
      <c r="C351" s="12" t="s">
        <v>702</v>
      </c>
      <c r="D351" s="12" t="s">
        <v>463</v>
      </c>
      <c r="E351" s="12">
        <v>48</v>
      </c>
      <c r="F351" s="12">
        <v>35</v>
      </c>
      <c r="G351" s="12"/>
    </row>
    <row r="352" spans="1:7" ht="14.4" x14ac:dyDescent="0.3">
      <c r="A352" s="12" t="s">
        <v>716</v>
      </c>
      <c r="B352" s="12" t="s">
        <v>493</v>
      </c>
      <c r="C352" s="12" t="s">
        <v>717</v>
      </c>
      <c r="D352" s="12" t="s">
        <v>474</v>
      </c>
      <c r="E352" s="12">
        <v>17</v>
      </c>
      <c r="F352" s="12">
        <v>15</v>
      </c>
      <c r="G352" s="12">
        <v>11</v>
      </c>
    </row>
    <row r="353" spans="1:7" ht="14.4" x14ac:dyDescent="0.3">
      <c r="A353" s="12" t="s">
        <v>716</v>
      </c>
      <c r="B353" s="12" t="s">
        <v>565</v>
      </c>
      <c r="C353" s="12" t="s">
        <v>717</v>
      </c>
      <c r="D353" s="12" t="s">
        <v>591</v>
      </c>
      <c r="E353" s="12">
        <v>104</v>
      </c>
      <c r="F353" s="12">
        <v>72</v>
      </c>
      <c r="G353" s="12">
        <v>47</v>
      </c>
    </row>
    <row r="354" spans="1:7" ht="14.4" x14ac:dyDescent="0.3">
      <c r="A354" s="12" t="s">
        <v>716</v>
      </c>
      <c r="B354" s="12" t="s">
        <v>514</v>
      </c>
      <c r="C354" s="12" t="s">
        <v>717</v>
      </c>
      <c r="D354" s="12" t="s">
        <v>476</v>
      </c>
      <c r="E354" s="12">
        <v>34</v>
      </c>
      <c r="F354" s="12">
        <v>24</v>
      </c>
      <c r="G354" s="12"/>
    </row>
    <row r="355" spans="1:7" ht="14.4" x14ac:dyDescent="0.3">
      <c r="A355" s="12" t="s">
        <v>716</v>
      </c>
      <c r="B355" s="12" t="s">
        <v>576</v>
      </c>
      <c r="C355" s="12" t="s">
        <v>717</v>
      </c>
      <c r="D355" s="12" t="s">
        <v>476</v>
      </c>
      <c r="E355" s="12">
        <v>115</v>
      </c>
      <c r="F355" s="12">
        <v>79</v>
      </c>
      <c r="G355" s="12">
        <v>50</v>
      </c>
    </row>
    <row r="356" spans="1:7" ht="14.4" x14ac:dyDescent="0.3">
      <c r="A356" s="12" t="s">
        <v>716</v>
      </c>
      <c r="B356" s="12" t="s">
        <v>573</v>
      </c>
      <c r="C356" s="12" t="s">
        <v>717</v>
      </c>
      <c r="D356" s="12" t="s">
        <v>483</v>
      </c>
      <c r="E356" s="12">
        <v>109</v>
      </c>
      <c r="F356" s="12">
        <v>76</v>
      </c>
      <c r="G356" s="12"/>
    </row>
    <row r="357" spans="1:7" ht="14.4" x14ac:dyDescent="0.3">
      <c r="A357" s="12" t="s">
        <v>716</v>
      </c>
      <c r="B357" s="12" t="s">
        <v>598</v>
      </c>
      <c r="C357" s="12" t="s">
        <v>717</v>
      </c>
      <c r="D357" s="12" t="s">
        <v>463</v>
      </c>
      <c r="E357" s="12">
        <v>81</v>
      </c>
      <c r="F357" s="12">
        <v>56</v>
      </c>
      <c r="G357" s="12">
        <v>36</v>
      </c>
    </row>
    <row r="358" spans="1:7" ht="14.4" x14ac:dyDescent="0.3">
      <c r="A358" s="12" t="s">
        <v>716</v>
      </c>
      <c r="B358" s="12" t="s">
        <v>495</v>
      </c>
      <c r="C358" s="12" t="s">
        <v>718</v>
      </c>
      <c r="D358" s="12" t="s">
        <v>474</v>
      </c>
      <c r="E358" s="12">
        <v>18</v>
      </c>
      <c r="F358" s="12">
        <v>16</v>
      </c>
      <c r="G358" s="12">
        <v>12</v>
      </c>
    </row>
    <row r="359" spans="1:7" ht="14.4" x14ac:dyDescent="0.3">
      <c r="A359" s="12" t="s">
        <v>716</v>
      </c>
      <c r="B359" s="12" t="s">
        <v>567</v>
      </c>
      <c r="C359" s="12" t="s">
        <v>718</v>
      </c>
      <c r="D359" s="12" t="s">
        <v>591</v>
      </c>
      <c r="E359" s="12">
        <v>105</v>
      </c>
      <c r="F359" s="12">
        <v>73</v>
      </c>
      <c r="G359" s="12">
        <v>48</v>
      </c>
    </row>
    <row r="360" spans="1:7" ht="14.4" x14ac:dyDescent="0.3">
      <c r="A360" s="12" t="s">
        <v>716</v>
      </c>
      <c r="B360" s="12" t="s">
        <v>516</v>
      </c>
      <c r="C360" s="12" t="s">
        <v>718</v>
      </c>
      <c r="D360" s="12" t="s">
        <v>476</v>
      </c>
      <c r="E360" s="12">
        <v>35</v>
      </c>
      <c r="F360" s="12">
        <v>25</v>
      </c>
      <c r="G360" s="12"/>
    </row>
    <row r="361" spans="1:7" ht="14.4" x14ac:dyDescent="0.3">
      <c r="A361" s="12" t="s">
        <v>716</v>
      </c>
      <c r="B361" s="12" t="s">
        <v>575</v>
      </c>
      <c r="C361" s="12" t="s">
        <v>718</v>
      </c>
      <c r="D361" s="12" t="s">
        <v>476</v>
      </c>
      <c r="E361" s="12">
        <v>113</v>
      </c>
      <c r="F361" s="12">
        <v>78</v>
      </c>
      <c r="G361" s="12">
        <v>49</v>
      </c>
    </row>
    <row r="362" spans="1:7" ht="14.4" x14ac:dyDescent="0.3">
      <c r="A362" s="12" t="s">
        <v>716</v>
      </c>
      <c r="B362" s="12" t="s">
        <v>571</v>
      </c>
      <c r="C362" s="12" t="s">
        <v>718</v>
      </c>
      <c r="D362" s="12" t="s">
        <v>483</v>
      </c>
      <c r="E362" s="12">
        <v>108</v>
      </c>
      <c r="F362" s="12">
        <v>75</v>
      </c>
      <c r="G362" s="12"/>
    </row>
    <row r="363" spans="1:7" ht="14.4" x14ac:dyDescent="0.3">
      <c r="A363" s="12" t="s">
        <v>716</v>
      </c>
      <c r="B363" s="12" t="s">
        <v>596</v>
      </c>
      <c r="C363" s="12" t="s">
        <v>718</v>
      </c>
      <c r="D363" s="12" t="s">
        <v>463</v>
      </c>
      <c r="E363" s="12">
        <v>80</v>
      </c>
      <c r="F363" s="12">
        <v>55</v>
      </c>
      <c r="G363" s="12">
        <v>35</v>
      </c>
    </row>
    <row r="364" spans="1:7" ht="14.4" x14ac:dyDescent="0.3">
      <c r="A364" s="12" t="s">
        <v>716</v>
      </c>
      <c r="B364" s="12" t="s">
        <v>652</v>
      </c>
      <c r="C364" s="12" t="s">
        <v>722</v>
      </c>
      <c r="D364" s="12" t="s">
        <v>476</v>
      </c>
      <c r="E364" s="12">
        <v>88</v>
      </c>
      <c r="F364" s="12"/>
      <c r="G364" s="12"/>
    </row>
    <row r="365" spans="1:7" ht="14.4" x14ac:dyDescent="0.3">
      <c r="A365" s="12" t="s">
        <v>716</v>
      </c>
      <c r="B365" s="12" t="s">
        <v>563</v>
      </c>
      <c r="C365" s="12" t="s">
        <v>722</v>
      </c>
      <c r="D365" s="12" t="s">
        <v>476</v>
      </c>
      <c r="E365" s="12">
        <v>101</v>
      </c>
      <c r="F365" s="12">
        <v>70</v>
      </c>
      <c r="G365" s="12">
        <v>45</v>
      </c>
    </row>
    <row r="366" spans="1:7" ht="14.4" x14ac:dyDescent="0.3">
      <c r="A366" s="12" t="s">
        <v>716</v>
      </c>
      <c r="B366" s="12" t="s">
        <v>626</v>
      </c>
      <c r="C366" s="12" t="s">
        <v>722</v>
      </c>
      <c r="D366" s="12" t="s">
        <v>476</v>
      </c>
      <c r="E366" s="12">
        <v>137</v>
      </c>
      <c r="F366" s="12">
        <v>93</v>
      </c>
      <c r="G366" s="12">
        <v>59</v>
      </c>
    </row>
    <row r="367" spans="1:7" ht="14.4" x14ac:dyDescent="0.3">
      <c r="A367" s="12" t="s">
        <v>716</v>
      </c>
      <c r="B367" s="12" t="s">
        <v>724</v>
      </c>
      <c r="C367" s="12" t="s">
        <v>722</v>
      </c>
      <c r="D367" s="12" t="s">
        <v>450</v>
      </c>
      <c r="E367" s="12">
        <v>38</v>
      </c>
      <c r="F367" s="12"/>
      <c r="G367" s="12"/>
    </row>
    <row r="368" spans="1:7" ht="14.4" x14ac:dyDescent="0.3">
      <c r="A368" s="12" t="s">
        <v>716</v>
      </c>
      <c r="B368" s="12" t="s">
        <v>613</v>
      </c>
      <c r="C368" s="12" t="s">
        <v>722</v>
      </c>
      <c r="D368" s="12" t="s">
        <v>450</v>
      </c>
      <c r="E368" s="12">
        <v>54</v>
      </c>
      <c r="F368" s="12">
        <v>41</v>
      </c>
      <c r="G368" s="12"/>
    </row>
    <row r="369" spans="1:7" ht="14.4" x14ac:dyDescent="0.3">
      <c r="A369" s="12" t="s">
        <v>716</v>
      </c>
      <c r="B369" s="12" t="s">
        <v>595</v>
      </c>
      <c r="C369" s="12" t="s">
        <v>722</v>
      </c>
      <c r="D369" s="12" t="s">
        <v>450</v>
      </c>
      <c r="E369" s="12">
        <v>79</v>
      </c>
      <c r="F369" s="12"/>
      <c r="G369" s="12"/>
    </row>
    <row r="370" spans="1:7" ht="14.4" x14ac:dyDescent="0.3">
      <c r="A370" s="12" t="s">
        <v>716</v>
      </c>
      <c r="B370" s="12" t="s">
        <v>725</v>
      </c>
      <c r="C370" s="12" t="s">
        <v>722</v>
      </c>
      <c r="D370" s="12" t="s">
        <v>450</v>
      </c>
      <c r="E370" s="12">
        <v>89</v>
      </c>
      <c r="F370" s="12"/>
      <c r="G370" s="12"/>
    </row>
    <row r="371" spans="1:7" ht="14.4" x14ac:dyDescent="0.3">
      <c r="A371" s="12" t="s">
        <v>716</v>
      </c>
      <c r="B371" s="12" t="s">
        <v>537</v>
      </c>
      <c r="C371" s="12" t="s">
        <v>722</v>
      </c>
      <c r="D371" s="12" t="s">
        <v>463</v>
      </c>
      <c r="E371" s="12">
        <v>59</v>
      </c>
      <c r="F371" s="12">
        <v>45</v>
      </c>
      <c r="G371" s="12">
        <v>29</v>
      </c>
    </row>
    <row r="372" spans="1:7" ht="14.4" x14ac:dyDescent="0.3">
      <c r="A372" s="12" t="s">
        <v>716</v>
      </c>
      <c r="B372" s="12" t="s">
        <v>651</v>
      </c>
      <c r="C372" s="12" t="s">
        <v>721</v>
      </c>
      <c r="D372" s="12" t="s">
        <v>476</v>
      </c>
      <c r="E372" s="12">
        <v>86</v>
      </c>
      <c r="F372" s="12"/>
      <c r="G372" s="12"/>
    </row>
    <row r="373" spans="1:7" ht="14.4" x14ac:dyDescent="0.3">
      <c r="A373" s="12" t="s">
        <v>716</v>
      </c>
      <c r="B373" s="12" t="s">
        <v>564</v>
      </c>
      <c r="C373" s="12" t="s">
        <v>721</v>
      </c>
      <c r="D373" s="12" t="s">
        <v>476</v>
      </c>
      <c r="E373" s="12">
        <v>102</v>
      </c>
      <c r="F373" s="12">
        <v>71</v>
      </c>
      <c r="G373" s="12">
        <v>46</v>
      </c>
    </row>
    <row r="374" spans="1:7" ht="14.4" x14ac:dyDescent="0.3">
      <c r="A374" s="12" t="s">
        <v>716</v>
      </c>
      <c r="B374" s="12" t="s">
        <v>627</v>
      </c>
      <c r="C374" s="12" t="s">
        <v>721</v>
      </c>
      <c r="D374" s="12" t="s">
        <v>476</v>
      </c>
      <c r="E374" s="12">
        <v>138</v>
      </c>
      <c r="F374" s="12">
        <v>94</v>
      </c>
      <c r="G374" s="12">
        <v>60</v>
      </c>
    </row>
    <row r="375" spans="1:7" ht="14.4" x14ac:dyDescent="0.3">
      <c r="A375" s="12" t="s">
        <v>716</v>
      </c>
      <c r="B375" s="12" t="s">
        <v>723</v>
      </c>
      <c r="C375" s="12" t="s">
        <v>721</v>
      </c>
      <c r="D375" s="12" t="s">
        <v>450</v>
      </c>
      <c r="E375" s="12">
        <v>37</v>
      </c>
      <c r="F375" s="12"/>
      <c r="G375" s="12"/>
    </row>
    <row r="376" spans="1:7" ht="14.4" x14ac:dyDescent="0.3">
      <c r="A376" s="12" t="s">
        <v>716</v>
      </c>
      <c r="B376" s="12" t="s">
        <v>614</v>
      </c>
      <c r="C376" s="12" t="s">
        <v>721</v>
      </c>
      <c r="D376" s="12" t="s">
        <v>450</v>
      </c>
      <c r="E376" s="12">
        <v>55</v>
      </c>
      <c r="F376" s="12">
        <v>42</v>
      </c>
      <c r="G376" s="12"/>
    </row>
    <row r="377" spans="1:7" ht="14.4" x14ac:dyDescent="0.3">
      <c r="A377" s="12" t="s">
        <v>716</v>
      </c>
      <c r="B377" s="12" t="s">
        <v>649</v>
      </c>
      <c r="C377" s="12" t="s">
        <v>721</v>
      </c>
      <c r="D377" s="12" t="s">
        <v>450</v>
      </c>
      <c r="E377" s="12">
        <v>82</v>
      </c>
      <c r="F377" s="12"/>
      <c r="G377" s="12"/>
    </row>
    <row r="378" spans="1:7" ht="14.4" x14ac:dyDescent="0.3">
      <c r="A378" s="12" t="s">
        <v>716</v>
      </c>
      <c r="B378" s="12" t="s">
        <v>652</v>
      </c>
      <c r="C378" s="12" t="s">
        <v>721</v>
      </c>
      <c r="D378" s="12" t="s">
        <v>450</v>
      </c>
      <c r="E378" s="12">
        <v>88</v>
      </c>
      <c r="F378" s="12"/>
      <c r="G378" s="12"/>
    </row>
    <row r="379" spans="1:7" ht="14.4" x14ac:dyDescent="0.3">
      <c r="A379" s="12" t="s">
        <v>716</v>
      </c>
      <c r="B379" s="12" t="s">
        <v>535</v>
      </c>
      <c r="C379" s="12" t="s">
        <v>721</v>
      </c>
      <c r="D379" s="12" t="s">
        <v>463</v>
      </c>
      <c r="E379" s="12">
        <v>57</v>
      </c>
      <c r="F379" s="12">
        <v>44</v>
      </c>
      <c r="G379" s="12">
        <v>28</v>
      </c>
    </row>
    <row r="380" spans="1:7" ht="14.4" x14ac:dyDescent="0.3">
      <c r="A380" s="12" t="s">
        <v>716</v>
      </c>
      <c r="B380" s="12" t="s">
        <v>518</v>
      </c>
      <c r="C380" s="12" t="s">
        <v>720</v>
      </c>
      <c r="D380" s="12" t="s">
        <v>476</v>
      </c>
      <c r="E380" s="12">
        <v>39</v>
      </c>
      <c r="F380" s="12">
        <v>26</v>
      </c>
      <c r="G380" s="12">
        <v>17</v>
      </c>
    </row>
    <row r="381" spans="1:7" ht="14.4" x14ac:dyDescent="0.3">
      <c r="A381" s="12" t="s">
        <v>716</v>
      </c>
      <c r="B381" s="12" t="s">
        <v>492</v>
      </c>
      <c r="C381" s="12" t="s">
        <v>720</v>
      </c>
      <c r="D381" s="12" t="s">
        <v>450</v>
      </c>
      <c r="E381" s="12">
        <v>83</v>
      </c>
      <c r="F381" s="12">
        <v>57</v>
      </c>
      <c r="G381" s="12">
        <v>37</v>
      </c>
    </row>
    <row r="382" spans="1:7" ht="14.4" x14ac:dyDescent="0.3">
      <c r="A382" s="12" t="s">
        <v>716</v>
      </c>
      <c r="B382" s="12" t="s">
        <v>512</v>
      </c>
      <c r="C382" s="12" t="s">
        <v>719</v>
      </c>
      <c r="D382" s="12" t="s">
        <v>476</v>
      </c>
      <c r="E382" s="12">
        <v>30</v>
      </c>
      <c r="F382" s="12">
        <v>23</v>
      </c>
      <c r="G382" s="12">
        <v>16</v>
      </c>
    </row>
    <row r="383" spans="1:7" ht="14.4" x14ac:dyDescent="0.3">
      <c r="A383" s="12" t="s">
        <v>716</v>
      </c>
      <c r="B383" s="12" t="s">
        <v>553</v>
      </c>
      <c r="C383" s="12" t="s">
        <v>719</v>
      </c>
      <c r="D383" s="12" t="s">
        <v>450</v>
      </c>
      <c r="E383" s="12">
        <v>85</v>
      </c>
      <c r="F383" s="12">
        <v>58</v>
      </c>
      <c r="G383" s="12">
        <v>38</v>
      </c>
    </row>
    <row r="384" spans="1:7" ht="14.4" x14ac:dyDescent="0.3">
      <c r="A384" s="12" t="s">
        <v>726</v>
      </c>
      <c r="B384" s="12" t="s">
        <v>520</v>
      </c>
      <c r="C384" s="12" t="s">
        <v>728</v>
      </c>
      <c r="D384" s="12" t="s">
        <v>483</v>
      </c>
      <c r="E384" s="12">
        <v>40</v>
      </c>
      <c r="F384" s="12">
        <v>27</v>
      </c>
      <c r="G384" s="12">
        <v>18</v>
      </c>
    </row>
    <row r="385" spans="1:7" ht="14.4" x14ac:dyDescent="0.3">
      <c r="A385" s="12" t="s">
        <v>726</v>
      </c>
      <c r="B385" s="12" t="s">
        <v>522</v>
      </c>
      <c r="C385" s="12" t="s">
        <v>729</v>
      </c>
      <c r="D385" s="12" t="s">
        <v>483</v>
      </c>
      <c r="E385" s="12">
        <v>41</v>
      </c>
      <c r="F385" s="12">
        <v>28</v>
      </c>
      <c r="G385" s="12">
        <v>19</v>
      </c>
    </row>
    <row r="386" spans="1:7" ht="14.4" x14ac:dyDescent="0.3">
      <c r="A386" s="12" t="s">
        <v>726</v>
      </c>
      <c r="B386" s="12" t="s">
        <v>549</v>
      </c>
      <c r="C386" s="12" t="s">
        <v>735</v>
      </c>
      <c r="D386" s="12" t="s">
        <v>483</v>
      </c>
      <c r="E386" s="12">
        <v>74</v>
      </c>
      <c r="F386" s="12">
        <v>51</v>
      </c>
      <c r="G386" s="12"/>
    </row>
    <row r="387" spans="1:7" ht="14.4" x14ac:dyDescent="0.3">
      <c r="A387" s="12" t="s">
        <v>726</v>
      </c>
      <c r="B387" s="12" t="s">
        <v>551</v>
      </c>
      <c r="C387" s="12" t="s">
        <v>736</v>
      </c>
      <c r="D387" s="12" t="s">
        <v>483</v>
      </c>
      <c r="E387" s="12">
        <v>75</v>
      </c>
      <c r="F387" s="12">
        <v>52</v>
      </c>
      <c r="G387" s="12"/>
    </row>
    <row r="388" spans="1:7" ht="14.4" x14ac:dyDescent="0.3">
      <c r="A388" s="12" t="s">
        <v>726</v>
      </c>
      <c r="B388" s="12" t="s">
        <v>541</v>
      </c>
      <c r="C388" s="12" t="s">
        <v>733</v>
      </c>
      <c r="D388" s="12" t="s">
        <v>483</v>
      </c>
      <c r="E388" s="12">
        <v>63</v>
      </c>
      <c r="F388" s="12">
        <v>47</v>
      </c>
      <c r="G388" s="12">
        <v>31</v>
      </c>
    </row>
    <row r="389" spans="1:7" ht="14.4" x14ac:dyDescent="0.3">
      <c r="A389" s="12" t="s">
        <v>726</v>
      </c>
      <c r="B389" s="12" t="s">
        <v>543</v>
      </c>
      <c r="C389" s="12" t="s">
        <v>734</v>
      </c>
      <c r="D389" s="12" t="s">
        <v>483</v>
      </c>
      <c r="E389" s="12">
        <v>68</v>
      </c>
      <c r="F389" s="12">
        <v>48</v>
      </c>
      <c r="G389" s="12">
        <v>32</v>
      </c>
    </row>
    <row r="390" spans="1:7" ht="14.4" x14ac:dyDescent="0.3">
      <c r="A390" s="12" t="s">
        <v>726</v>
      </c>
      <c r="B390" s="12" t="s">
        <v>563</v>
      </c>
      <c r="C390" s="12" t="s">
        <v>737</v>
      </c>
      <c r="D390" s="12" t="s">
        <v>483</v>
      </c>
      <c r="E390" s="12">
        <v>101</v>
      </c>
      <c r="F390" s="12">
        <v>70</v>
      </c>
      <c r="G390" s="12">
        <v>45</v>
      </c>
    </row>
    <row r="391" spans="1:7" ht="14.4" x14ac:dyDescent="0.3">
      <c r="A391" s="12" t="s">
        <v>726</v>
      </c>
      <c r="B391" s="12" t="s">
        <v>564</v>
      </c>
      <c r="C391" s="12" t="s">
        <v>738</v>
      </c>
      <c r="D391" s="12" t="s">
        <v>483</v>
      </c>
      <c r="E391" s="12">
        <v>102</v>
      </c>
      <c r="F391" s="12">
        <v>71</v>
      </c>
      <c r="G391" s="12">
        <v>46</v>
      </c>
    </row>
    <row r="392" spans="1:7" ht="14.4" x14ac:dyDescent="0.3">
      <c r="A392" s="12" t="s">
        <v>726</v>
      </c>
      <c r="B392" s="12" t="s">
        <v>504</v>
      </c>
      <c r="C392" s="12" t="s">
        <v>727</v>
      </c>
      <c r="D392" s="12" t="s">
        <v>483</v>
      </c>
      <c r="E392" s="12">
        <v>21</v>
      </c>
      <c r="F392" s="12">
        <v>18</v>
      </c>
      <c r="G392" s="12">
        <v>13</v>
      </c>
    </row>
    <row r="393" spans="1:7" ht="14.4" x14ac:dyDescent="0.3">
      <c r="A393" s="12" t="s">
        <v>726</v>
      </c>
      <c r="B393" s="12" t="s">
        <v>526</v>
      </c>
      <c r="C393" s="12" t="s">
        <v>730</v>
      </c>
      <c r="D393" s="12" t="s">
        <v>483</v>
      </c>
      <c r="E393" s="12">
        <v>46</v>
      </c>
      <c r="F393" s="12">
        <v>33</v>
      </c>
      <c r="G393" s="12">
        <v>24</v>
      </c>
    </row>
    <row r="394" spans="1:7" ht="14.4" x14ac:dyDescent="0.3">
      <c r="A394" s="12" t="s">
        <v>726</v>
      </c>
      <c r="B394" s="12" t="s">
        <v>537</v>
      </c>
      <c r="C394" s="12" t="s">
        <v>731</v>
      </c>
      <c r="D394" s="12" t="s">
        <v>483</v>
      </c>
      <c r="E394" s="12">
        <v>59</v>
      </c>
      <c r="F394" s="12">
        <v>45</v>
      </c>
      <c r="G394" s="12">
        <v>29</v>
      </c>
    </row>
    <row r="395" spans="1:7" ht="14.4" x14ac:dyDescent="0.3">
      <c r="A395" s="12" t="s">
        <v>726</v>
      </c>
      <c r="B395" s="12" t="s">
        <v>539</v>
      </c>
      <c r="C395" s="12" t="s">
        <v>732</v>
      </c>
      <c r="D395" s="12" t="s">
        <v>483</v>
      </c>
      <c r="E395" s="12">
        <v>61</v>
      </c>
      <c r="F395" s="12">
        <v>46</v>
      </c>
      <c r="G395" s="12">
        <v>30</v>
      </c>
    </row>
    <row r="396" spans="1:7" ht="14.4" x14ac:dyDescent="0.3">
      <c r="A396" s="12" t="s">
        <v>726</v>
      </c>
      <c r="B396" s="12" t="s">
        <v>575</v>
      </c>
      <c r="C396" s="12" t="s">
        <v>745</v>
      </c>
      <c r="D396" s="12" t="s">
        <v>463</v>
      </c>
      <c r="E396" s="12">
        <v>113</v>
      </c>
      <c r="F396" s="12">
        <v>78</v>
      </c>
      <c r="G396" s="12">
        <v>49</v>
      </c>
    </row>
    <row r="397" spans="1:7" ht="14.4" x14ac:dyDescent="0.3">
      <c r="A397" s="12" t="s">
        <v>726</v>
      </c>
      <c r="B397" s="12" t="s">
        <v>500</v>
      </c>
      <c r="C397" s="12" t="s">
        <v>741</v>
      </c>
      <c r="D397" s="12" t="s">
        <v>463</v>
      </c>
      <c r="E397" s="12">
        <v>4</v>
      </c>
      <c r="F397" s="12">
        <v>4</v>
      </c>
      <c r="G397" s="12">
        <v>2</v>
      </c>
    </row>
    <row r="398" spans="1:7" ht="14.4" x14ac:dyDescent="0.3">
      <c r="A398" s="12" t="s">
        <v>726</v>
      </c>
      <c r="B398" s="12" t="s">
        <v>495</v>
      </c>
      <c r="C398" s="12" t="s">
        <v>741</v>
      </c>
      <c r="D398" s="12" t="s">
        <v>463</v>
      </c>
      <c r="E398" s="12">
        <v>18</v>
      </c>
      <c r="F398" s="12">
        <v>16</v>
      </c>
      <c r="G398" s="12">
        <v>12</v>
      </c>
    </row>
    <row r="399" spans="1:7" ht="14.4" x14ac:dyDescent="0.3">
      <c r="A399" s="12" t="s">
        <v>726</v>
      </c>
      <c r="B399" s="12" t="s">
        <v>493</v>
      </c>
      <c r="C399" s="12" t="s">
        <v>744</v>
      </c>
      <c r="D399" s="12" t="s">
        <v>463</v>
      </c>
      <c r="E399" s="12">
        <v>17</v>
      </c>
      <c r="F399" s="12">
        <v>15</v>
      </c>
      <c r="G399" s="12">
        <v>11</v>
      </c>
    </row>
    <row r="400" spans="1:7" ht="14.4" x14ac:dyDescent="0.3">
      <c r="A400" s="12" t="s">
        <v>726</v>
      </c>
      <c r="B400" s="12" t="s">
        <v>576</v>
      </c>
      <c r="C400" s="12" t="s">
        <v>746</v>
      </c>
      <c r="D400" s="12" t="s">
        <v>463</v>
      </c>
      <c r="E400" s="12">
        <v>115</v>
      </c>
      <c r="F400" s="12">
        <v>79</v>
      </c>
      <c r="G400" s="12">
        <v>50</v>
      </c>
    </row>
    <row r="401" spans="1:7" ht="14.4" x14ac:dyDescent="0.3">
      <c r="A401" s="12" t="s">
        <v>726</v>
      </c>
      <c r="B401" s="12" t="s">
        <v>607</v>
      </c>
      <c r="C401" s="12" t="s">
        <v>743</v>
      </c>
      <c r="D401" s="12" t="s">
        <v>463</v>
      </c>
      <c r="E401" s="12">
        <v>6</v>
      </c>
      <c r="F401" s="12">
        <v>6</v>
      </c>
      <c r="G401" s="12">
        <v>4</v>
      </c>
    </row>
    <row r="402" spans="1:7" ht="14.4" x14ac:dyDescent="0.3">
      <c r="A402" s="12" t="s">
        <v>726</v>
      </c>
      <c r="B402" s="12" t="s">
        <v>481</v>
      </c>
      <c r="C402" s="12" t="s">
        <v>742</v>
      </c>
      <c r="D402" s="12" t="s">
        <v>463</v>
      </c>
      <c r="E402" s="12">
        <v>5</v>
      </c>
      <c r="F402" s="12">
        <v>5</v>
      </c>
      <c r="G402" s="12">
        <v>3</v>
      </c>
    </row>
    <row r="403" spans="1:7" ht="14.4" x14ac:dyDescent="0.3">
      <c r="A403" s="12" t="s">
        <v>726</v>
      </c>
      <c r="B403" s="12" t="s">
        <v>606</v>
      </c>
      <c r="C403" s="12" t="s">
        <v>740</v>
      </c>
      <c r="D403" s="12" t="s">
        <v>463</v>
      </c>
      <c r="E403" s="12">
        <v>2</v>
      </c>
      <c r="F403" s="12">
        <v>2</v>
      </c>
      <c r="G403" s="12"/>
    </row>
    <row r="404" spans="1:7" ht="14.4" x14ac:dyDescent="0.3">
      <c r="A404" s="12" t="s">
        <v>726</v>
      </c>
      <c r="B404" s="12" t="s">
        <v>605</v>
      </c>
      <c r="C404" s="12" t="s">
        <v>739</v>
      </c>
      <c r="D404" s="12" t="s">
        <v>463</v>
      </c>
      <c r="E404" s="12">
        <v>1</v>
      </c>
      <c r="F404" s="12">
        <v>1</v>
      </c>
      <c r="G404" s="12"/>
    </row>
    <row r="405" spans="1:7" ht="14.4" x14ac:dyDescent="0.3">
      <c r="A405" s="12" t="s">
        <v>747</v>
      </c>
      <c r="B405" s="12" t="s">
        <v>481</v>
      </c>
      <c r="C405" s="12" t="s">
        <v>748</v>
      </c>
      <c r="D405" s="12" t="s">
        <v>591</v>
      </c>
      <c r="E405" s="12">
        <v>5</v>
      </c>
      <c r="F405" s="12">
        <v>5</v>
      </c>
      <c r="G405" s="12">
        <v>3</v>
      </c>
    </row>
    <row r="406" spans="1:7" ht="14.4" x14ac:dyDescent="0.3">
      <c r="A406" s="12" t="s">
        <v>747</v>
      </c>
      <c r="B406" s="12" t="s">
        <v>526</v>
      </c>
      <c r="C406" s="12" t="s">
        <v>749</v>
      </c>
      <c r="D406" s="12" t="s">
        <v>591</v>
      </c>
      <c r="E406" s="12">
        <v>46</v>
      </c>
      <c r="F406" s="12">
        <v>33</v>
      </c>
      <c r="G406" s="12">
        <v>24</v>
      </c>
    </row>
    <row r="407" spans="1:7" ht="14.4" x14ac:dyDescent="0.3">
      <c r="A407" s="12" t="s">
        <v>747</v>
      </c>
      <c r="B407" s="12" t="s">
        <v>490</v>
      </c>
      <c r="C407" s="12" t="s">
        <v>750</v>
      </c>
      <c r="D407" s="12" t="s">
        <v>591</v>
      </c>
      <c r="E407" s="12">
        <v>122</v>
      </c>
      <c r="F407" s="12">
        <v>85</v>
      </c>
      <c r="G407" s="12">
        <v>54</v>
      </c>
    </row>
    <row r="408" spans="1:7" ht="14.4" x14ac:dyDescent="0.3">
      <c r="A408" s="12" t="s">
        <v>747</v>
      </c>
      <c r="B408" s="12" t="s">
        <v>666</v>
      </c>
      <c r="C408" s="12" t="s">
        <v>750</v>
      </c>
      <c r="D408" s="12" t="s">
        <v>476</v>
      </c>
      <c r="E408" s="12">
        <v>78</v>
      </c>
      <c r="F408" s="12">
        <v>54</v>
      </c>
      <c r="G408" s="12">
        <v>34</v>
      </c>
    </row>
    <row r="409" spans="1:7" ht="14.4" x14ac:dyDescent="0.3">
      <c r="A409" s="12" t="s">
        <v>751</v>
      </c>
      <c r="B409" s="12" t="s">
        <v>464</v>
      </c>
      <c r="C409" s="12" t="s">
        <v>753</v>
      </c>
      <c r="D409" s="12" t="s">
        <v>591</v>
      </c>
      <c r="E409" s="12">
        <v>139</v>
      </c>
      <c r="F409" s="12">
        <v>95</v>
      </c>
      <c r="G409" s="12">
        <v>61</v>
      </c>
    </row>
    <row r="410" spans="1:7" ht="14.4" x14ac:dyDescent="0.3">
      <c r="A410" s="12" t="s">
        <v>751</v>
      </c>
      <c r="B410" s="12" t="s">
        <v>466</v>
      </c>
      <c r="C410" s="12" t="s">
        <v>753</v>
      </c>
      <c r="D410" s="12" t="s">
        <v>591</v>
      </c>
      <c r="E410" s="12">
        <v>140</v>
      </c>
      <c r="F410" s="12">
        <v>96</v>
      </c>
      <c r="G410" s="12">
        <v>62</v>
      </c>
    </row>
    <row r="411" spans="1:7" ht="14.4" x14ac:dyDescent="0.3">
      <c r="A411" s="12" t="s">
        <v>751</v>
      </c>
      <c r="B411" s="12" t="s">
        <v>516</v>
      </c>
      <c r="C411" s="12" t="s">
        <v>753</v>
      </c>
      <c r="D411" s="12" t="s">
        <v>463</v>
      </c>
      <c r="E411" s="12">
        <v>35</v>
      </c>
      <c r="F411" s="12">
        <v>25</v>
      </c>
      <c r="G411" s="12"/>
    </row>
    <row r="412" spans="1:7" ht="14.4" x14ac:dyDescent="0.3">
      <c r="A412" s="12" t="s">
        <v>751</v>
      </c>
      <c r="B412" s="12" t="s">
        <v>607</v>
      </c>
      <c r="C412" s="12" t="s">
        <v>752</v>
      </c>
      <c r="D412" s="12" t="s">
        <v>474</v>
      </c>
      <c r="E412" s="12">
        <v>6</v>
      </c>
      <c r="F412" s="12">
        <v>6</v>
      </c>
      <c r="G412" s="12">
        <v>4</v>
      </c>
    </row>
    <row r="413" spans="1:7" ht="14.4" x14ac:dyDescent="0.3">
      <c r="A413" s="12" t="s">
        <v>751</v>
      </c>
      <c r="B413" s="12" t="s">
        <v>754</v>
      </c>
      <c r="C413" s="12" t="s">
        <v>752</v>
      </c>
      <c r="D413" s="12" t="s">
        <v>450</v>
      </c>
      <c r="E413" s="12">
        <v>20</v>
      </c>
      <c r="F413" s="12">
        <v>17</v>
      </c>
      <c r="G413" s="12"/>
    </row>
    <row r="414" spans="1:7" ht="14.4" x14ac:dyDescent="0.3">
      <c r="A414" s="12" t="s">
        <v>751</v>
      </c>
      <c r="B414" s="12" t="s">
        <v>520</v>
      </c>
      <c r="C414" s="12" t="s">
        <v>752</v>
      </c>
      <c r="D414" s="12" t="s">
        <v>450</v>
      </c>
      <c r="E414" s="12">
        <v>40</v>
      </c>
      <c r="F414" s="12">
        <v>27</v>
      </c>
      <c r="G414" s="12">
        <v>18</v>
      </c>
    </row>
    <row r="415" spans="1:7" ht="14.4" x14ac:dyDescent="0.3">
      <c r="A415" s="12" t="s">
        <v>751</v>
      </c>
      <c r="B415" s="12" t="s">
        <v>479</v>
      </c>
      <c r="C415" s="12" t="s">
        <v>752</v>
      </c>
      <c r="D415" s="12" t="s">
        <v>483</v>
      </c>
      <c r="E415" s="12">
        <v>49</v>
      </c>
      <c r="F415" s="12">
        <v>36</v>
      </c>
      <c r="G415" s="12"/>
    </row>
    <row r="416" spans="1:7" ht="14.4" x14ac:dyDescent="0.3">
      <c r="A416" s="12" t="s">
        <v>751</v>
      </c>
      <c r="B416" s="12" t="s">
        <v>755</v>
      </c>
      <c r="C416" s="12" t="s">
        <v>752</v>
      </c>
      <c r="D416" s="12" t="s">
        <v>756</v>
      </c>
      <c r="E416" s="12">
        <v>30</v>
      </c>
      <c r="F416" s="12">
        <v>23</v>
      </c>
      <c r="G416" s="12">
        <v>16</v>
      </c>
    </row>
    <row r="417" spans="1:7" ht="14.4" x14ac:dyDescent="0.3">
      <c r="A417" s="12" t="s">
        <v>751</v>
      </c>
      <c r="B417" s="12" t="s">
        <v>514</v>
      </c>
      <c r="C417" s="12" t="s">
        <v>752</v>
      </c>
      <c r="D417" s="12" t="s">
        <v>463</v>
      </c>
      <c r="E417" s="12">
        <v>34</v>
      </c>
      <c r="F417" s="12">
        <v>24</v>
      </c>
      <c r="G417" s="12"/>
    </row>
    <row r="418" spans="1:7" ht="14.4" x14ac:dyDescent="0.3">
      <c r="A418" s="12" t="s">
        <v>757</v>
      </c>
      <c r="B418" s="12" t="s">
        <v>665</v>
      </c>
      <c r="C418" s="12" t="s">
        <v>761</v>
      </c>
      <c r="D418" s="12" t="s">
        <v>476</v>
      </c>
      <c r="E418" s="12">
        <v>77</v>
      </c>
      <c r="F418" s="12">
        <v>53</v>
      </c>
      <c r="G418" s="12">
        <v>33</v>
      </c>
    </row>
    <row r="419" spans="1:7" ht="14.4" x14ac:dyDescent="0.3">
      <c r="A419" s="12" t="s">
        <v>757</v>
      </c>
      <c r="B419" s="12" t="s">
        <v>627</v>
      </c>
      <c r="C419" s="12" t="s">
        <v>759</v>
      </c>
      <c r="D419" s="12" t="s">
        <v>591</v>
      </c>
      <c r="E419" s="12">
        <v>138</v>
      </c>
      <c r="F419" s="12">
        <v>94</v>
      </c>
      <c r="G419" s="12">
        <v>60</v>
      </c>
    </row>
    <row r="420" spans="1:7" ht="14.4" x14ac:dyDescent="0.3">
      <c r="A420" s="12" t="s">
        <v>757</v>
      </c>
      <c r="B420" s="12" t="s">
        <v>760</v>
      </c>
      <c r="C420" s="12" t="s">
        <v>759</v>
      </c>
      <c r="D420" s="12" t="s">
        <v>591</v>
      </c>
      <c r="E420" s="12">
        <v>141</v>
      </c>
      <c r="F420" s="12">
        <v>97</v>
      </c>
      <c r="G420" s="12">
        <v>63</v>
      </c>
    </row>
    <row r="421" spans="1:7" ht="14.4" x14ac:dyDescent="0.3">
      <c r="A421" s="12" t="s">
        <v>757</v>
      </c>
      <c r="B421" s="12" t="s">
        <v>589</v>
      </c>
      <c r="C421" s="12" t="s">
        <v>758</v>
      </c>
      <c r="D421" s="12" t="s">
        <v>474</v>
      </c>
      <c r="E421" s="12">
        <v>8</v>
      </c>
      <c r="F421" s="12">
        <v>8</v>
      </c>
      <c r="G421" s="12">
        <v>5</v>
      </c>
    </row>
    <row r="422" spans="1:7" ht="14.4" x14ac:dyDescent="0.3">
      <c r="A422" s="12" t="s">
        <v>762</v>
      </c>
      <c r="B422" s="12" t="s">
        <v>486</v>
      </c>
      <c r="C422" s="12" t="s">
        <v>766</v>
      </c>
      <c r="D422" s="12" t="s">
        <v>591</v>
      </c>
      <c r="E422" s="12">
        <v>43</v>
      </c>
      <c r="F422" s="12">
        <v>30</v>
      </c>
      <c r="G422" s="12">
        <v>21</v>
      </c>
    </row>
    <row r="423" spans="1:7" ht="14.4" x14ac:dyDescent="0.3">
      <c r="A423" s="12" t="s">
        <v>762</v>
      </c>
      <c r="B423" s="12" t="s">
        <v>472</v>
      </c>
      <c r="C423" s="12" t="s">
        <v>766</v>
      </c>
      <c r="D423" s="12" t="s">
        <v>450</v>
      </c>
      <c r="E423" s="12">
        <v>9</v>
      </c>
      <c r="F423" s="12">
        <v>9</v>
      </c>
      <c r="G423" s="12">
        <v>6</v>
      </c>
    </row>
    <row r="424" spans="1:7" ht="14.4" x14ac:dyDescent="0.3">
      <c r="A424" s="12" t="s">
        <v>762</v>
      </c>
      <c r="B424" s="12" t="s">
        <v>636</v>
      </c>
      <c r="C424" s="12" t="s">
        <v>766</v>
      </c>
      <c r="D424" s="12" t="s">
        <v>450</v>
      </c>
      <c r="E424" s="12">
        <v>24</v>
      </c>
      <c r="F424" s="12"/>
      <c r="G424" s="12"/>
    </row>
    <row r="425" spans="1:7" ht="14.4" x14ac:dyDescent="0.3">
      <c r="A425" s="12" t="s">
        <v>762</v>
      </c>
      <c r="B425" s="12" t="s">
        <v>666</v>
      </c>
      <c r="C425" s="12" t="s">
        <v>766</v>
      </c>
      <c r="D425" s="12" t="s">
        <v>450</v>
      </c>
      <c r="E425" s="12">
        <v>78</v>
      </c>
      <c r="F425" s="12">
        <v>54</v>
      </c>
      <c r="G425" s="12">
        <v>34</v>
      </c>
    </row>
    <row r="426" spans="1:7" ht="14.4" x14ac:dyDescent="0.3">
      <c r="A426" s="12" t="s">
        <v>762</v>
      </c>
      <c r="B426" s="12" t="s">
        <v>524</v>
      </c>
      <c r="C426" s="12" t="s">
        <v>765</v>
      </c>
      <c r="D426" s="12" t="s">
        <v>591</v>
      </c>
      <c r="E426" s="12">
        <v>42</v>
      </c>
      <c r="F426" s="12">
        <v>29</v>
      </c>
      <c r="G426" s="12">
        <v>20</v>
      </c>
    </row>
    <row r="427" spans="1:7" ht="14.4" x14ac:dyDescent="0.3">
      <c r="A427" s="12" t="s">
        <v>762</v>
      </c>
      <c r="B427" s="12" t="s">
        <v>589</v>
      </c>
      <c r="C427" s="12" t="s">
        <v>765</v>
      </c>
      <c r="D427" s="12" t="s">
        <v>450</v>
      </c>
      <c r="E427" s="12">
        <v>8</v>
      </c>
      <c r="F427" s="12">
        <v>8</v>
      </c>
      <c r="G427" s="12">
        <v>5</v>
      </c>
    </row>
    <row r="428" spans="1:7" ht="14.4" x14ac:dyDescent="0.3">
      <c r="A428" s="12" t="s">
        <v>762</v>
      </c>
      <c r="B428" s="12" t="s">
        <v>634</v>
      </c>
      <c r="C428" s="12" t="s">
        <v>765</v>
      </c>
      <c r="D428" s="12" t="s">
        <v>450</v>
      </c>
      <c r="E428" s="12">
        <v>22</v>
      </c>
      <c r="F428" s="12"/>
      <c r="G428" s="12"/>
    </row>
    <row r="429" spans="1:7" ht="14.4" x14ac:dyDescent="0.3">
      <c r="A429" s="12" t="s">
        <v>762</v>
      </c>
      <c r="B429" s="12" t="s">
        <v>665</v>
      </c>
      <c r="C429" s="12" t="s">
        <v>765</v>
      </c>
      <c r="D429" s="12" t="s">
        <v>450</v>
      </c>
      <c r="E429" s="12">
        <v>77</v>
      </c>
      <c r="F429" s="12">
        <v>53</v>
      </c>
      <c r="G429" s="12">
        <v>33</v>
      </c>
    </row>
    <row r="430" spans="1:7" ht="14.4" x14ac:dyDescent="0.3">
      <c r="A430" s="12" t="s">
        <v>762</v>
      </c>
      <c r="B430" s="12" t="s">
        <v>618</v>
      </c>
      <c r="C430" s="12" t="s">
        <v>770</v>
      </c>
      <c r="D430" s="12" t="s">
        <v>591</v>
      </c>
      <c r="E430" s="12">
        <v>118</v>
      </c>
      <c r="F430" s="12">
        <v>81</v>
      </c>
      <c r="G430" s="12">
        <v>52</v>
      </c>
    </row>
    <row r="431" spans="1:7" ht="14.4" x14ac:dyDescent="0.3">
      <c r="A431" s="12" t="s">
        <v>762</v>
      </c>
      <c r="B431" s="12" t="s">
        <v>771</v>
      </c>
      <c r="C431" s="12" t="s">
        <v>770</v>
      </c>
      <c r="D431" s="12" t="s">
        <v>591</v>
      </c>
      <c r="E431" s="12">
        <v>121</v>
      </c>
      <c r="F431" s="12"/>
      <c r="G431" s="12"/>
    </row>
    <row r="432" spans="1:7" ht="14.4" x14ac:dyDescent="0.3">
      <c r="A432" s="12" t="s">
        <v>762</v>
      </c>
      <c r="B432" s="12" t="s">
        <v>584</v>
      </c>
      <c r="C432" s="12" t="s">
        <v>770</v>
      </c>
      <c r="D432" s="12" t="s">
        <v>591</v>
      </c>
      <c r="E432" s="12">
        <v>134</v>
      </c>
      <c r="F432" s="12">
        <v>90</v>
      </c>
      <c r="G432" s="12">
        <v>56</v>
      </c>
    </row>
    <row r="433" spans="1:7" ht="14.4" x14ac:dyDescent="0.3">
      <c r="A433" s="12" t="s">
        <v>762</v>
      </c>
      <c r="B433" s="12" t="s">
        <v>617</v>
      </c>
      <c r="C433" s="12" t="s">
        <v>769</v>
      </c>
      <c r="D433" s="12" t="s">
        <v>591</v>
      </c>
      <c r="E433" s="12">
        <v>117</v>
      </c>
      <c r="F433" s="12">
        <v>80</v>
      </c>
      <c r="G433" s="12">
        <v>51</v>
      </c>
    </row>
    <row r="434" spans="1:7" ht="14.4" x14ac:dyDescent="0.3">
      <c r="A434" s="12" t="s">
        <v>762</v>
      </c>
      <c r="B434" s="12" t="s">
        <v>582</v>
      </c>
      <c r="C434" s="12" t="s">
        <v>769</v>
      </c>
      <c r="D434" s="12" t="s">
        <v>591</v>
      </c>
      <c r="E434" s="12">
        <v>130</v>
      </c>
      <c r="F434" s="12">
        <v>89</v>
      </c>
      <c r="G434" s="12">
        <v>55</v>
      </c>
    </row>
    <row r="435" spans="1:7" ht="14.4" x14ac:dyDescent="0.3">
      <c r="A435" s="12" t="s">
        <v>762</v>
      </c>
      <c r="B435" s="12" t="s">
        <v>586</v>
      </c>
      <c r="C435" s="12" t="s">
        <v>769</v>
      </c>
      <c r="D435" s="12" t="s">
        <v>591</v>
      </c>
      <c r="E435" s="12">
        <v>135</v>
      </c>
      <c r="F435" s="12">
        <v>91</v>
      </c>
      <c r="G435" s="12">
        <v>57</v>
      </c>
    </row>
    <row r="436" spans="1:7" ht="14.4" x14ac:dyDescent="0.3">
      <c r="A436" s="12" t="s">
        <v>762</v>
      </c>
      <c r="B436" s="12" t="s">
        <v>535</v>
      </c>
      <c r="C436" s="12" t="s">
        <v>768</v>
      </c>
      <c r="D436" s="12" t="s">
        <v>591</v>
      </c>
      <c r="E436" s="12">
        <v>57</v>
      </c>
      <c r="F436" s="12">
        <v>44</v>
      </c>
      <c r="G436" s="12">
        <v>28</v>
      </c>
    </row>
    <row r="437" spans="1:7" ht="14.4" x14ac:dyDescent="0.3">
      <c r="A437" s="12" t="s">
        <v>762</v>
      </c>
      <c r="B437" s="12" t="s">
        <v>623</v>
      </c>
      <c r="C437" s="12" t="s">
        <v>768</v>
      </c>
      <c r="D437" s="12" t="s">
        <v>591</v>
      </c>
      <c r="E437" s="12">
        <v>133</v>
      </c>
      <c r="F437" s="12"/>
      <c r="G437" s="12"/>
    </row>
    <row r="438" spans="1:7" ht="14.4" x14ac:dyDescent="0.3">
      <c r="A438" s="12" t="s">
        <v>762</v>
      </c>
      <c r="B438" s="12" t="s">
        <v>561</v>
      </c>
      <c r="C438" s="12" t="s">
        <v>768</v>
      </c>
      <c r="D438" s="12" t="s">
        <v>476</v>
      </c>
      <c r="E438" s="12">
        <v>98</v>
      </c>
      <c r="F438" s="12">
        <v>68</v>
      </c>
      <c r="G438" s="12">
        <v>43</v>
      </c>
    </row>
    <row r="439" spans="1:7" ht="14.4" x14ac:dyDescent="0.3">
      <c r="A439" s="12" t="s">
        <v>762</v>
      </c>
      <c r="B439" s="12" t="s">
        <v>533</v>
      </c>
      <c r="C439" s="12" t="s">
        <v>767</v>
      </c>
      <c r="D439" s="12" t="s">
        <v>591</v>
      </c>
      <c r="E439" s="12">
        <v>56</v>
      </c>
      <c r="F439" s="12">
        <v>43</v>
      </c>
      <c r="G439" s="12">
        <v>27</v>
      </c>
    </row>
    <row r="440" spans="1:7" ht="14.4" x14ac:dyDescent="0.3">
      <c r="A440" s="12" t="s">
        <v>762</v>
      </c>
      <c r="B440" s="12" t="s">
        <v>622</v>
      </c>
      <c r="C440" s="12" t="s">
        <v>767</v>
      </c>
      <c r="D440" s="12" t="s">
        <v>591</v>
      </c>
      <c r="E440" s="12">
        <v>132</v>
      </c>
      <c r="F440" s="12"/>
      <c r="G440" s="12"/>
    </row>
    <row r="441" spans="1:7" ht="14.4" x14ac:dyDescent="0.3">
      <c r="A441" s="12" t="s">
        <v>762</v>
      </c>
      <c r="B441" s="12" t="s">
        <v>560</v>
      </c>
      <c r="C441" s="12" t="s">
        <v>767</v>
      </c>
      <c r="D441" s="12" t="s">
        <v>476</v>
      </c>
      <c r="E441" s="12">
        <v>97</v>
      </c>
      <c r="F441" s="12">
        <v>67</v>
      </c>
      <c r="G441" s="12">
        <v>42</v>
      </c>
    </row>
    <row r="442" spans="1:7" ht="14.4" x14ac:dyDescent="0.3">
      <c r="A442" s="12" t="s">
        <v>762</v>
      </c>
      <c r="B442" s="12" t="s">
        <v>470</v>
      </c>
      <c r="C442" s="12" t="s">
        <v>764</v>
      </c>
      <c r="D442" s="12" t="s">
        <v>474</v>
      </c>
      <c r="E442" s="12">
        <v>142</v>
      </c>
      <c r="F442" s="12">
        <v>98</v>
      </c>
      <c r="G442" s="12">
        <v>64</v>
      </c>
    </row>
    <row r="443" spans="1:7" ht="14.4" x14ac:dyDescent="0.3">
      <c r="A443" s="12" t="s">
        <v>762</v>
      </c>
      <c r="B443" s="12" t="s">
        <v>532</v>
      </c>
      <c r="C443" s="12" t="s">
        <v>764</v>
      </c>
      <c r="D443" s="12" t="s">
        <v>476</v>
      </c>
      <c r="E443" s="12">
        <v>53</v>
      </c>
      <c r="F443" s="12">
        <v>40</v>
      </c>
      <c r="G443" s="12">
        <v>26</v>
      </c>
    </row>
    <row r="444" spans="1:7" ht="14.4" x14ac:dyDescent="0.3">
      <c r="A444" s="12" t="s">
        <v>762</v>
      </c>
      <c r="B444" s="12" t="s">
        <v>649</v>
      </c>
      <c r="C444" s="12" t="s">
        <v>764</v>
      </c>
      <c r="D444" s="12" t="s">
        <v>463</v>
      </c>
      <c r="E444" s="12">
        <v>82</v>
      </c>
      <c r="F444" s="12"/>
      <c r="G444" s="12"/>
    </row>
    <row r="445" spans="1:7" ht="14.4" x14ac:dyDescent="0.3">
      <c r="A445" s="12" t="s">
        <v>762</v>
      </c>
      <c r="B445" s="12" t="s">
        <v>468</v>
      </c>
      <c r="C445" s="12" t="s">
        <v>763</v>
      </c>
      <c r="D445" s="12" t="s">
        <v>474</v>
      </c>
      <c r="E445" s="12">
        <v>141</v>
      </c>
      <c r="F445" s="12">
        <v>97</v>
      </c>
      <c r="G445" s="12">
        <v>63</v>
      </c>
    </row>
    <row r="446" spans="1:7" ht="14.4" x14ac:dyDescent="0.3">
      <c r="A446" s="12" t="s">
        <v>762</v>
      </c>
      <c r="B446" s="12" t="s">
        <v>531</v>
      </c>
      <c r="C446" s="12" t="s">
        <v>763</v>
      </c>
      <c r="D446" s="12" t="s">
        <v>476</v>
      </c>
      <c r="E446" s="12">
        <v>52</v>
      </c>
      <c r="F446" s="12">
        <v>39</v>
      </c>
      <c r="G446" s="12">
        <v>25</v>
      </c>
    </row>
    <row r="447" spans="1:7" ht="14.4" x14ac:dyDescent="0.3">
      <c r="A447" s="12" t="s">
        <v>762</v>
      </c>
      <c r="B447" s="12" t="s">
        <v>595</v>
      </c>
      <c r="C447" s="12" t="s">
        <v>763</v>
      </c>
      <c r="D447" s="12" t="s">
        <v>463</v>
      </c>
      <c r="E447" s="12">
        <v>79</v>
      </c>
      <c r="F447" s="12"/>
      <c r="G447" s="12"/>
    </row>
    <row r="448" spans="1:7" ht="14.4" x14ac:dyDescent="0.3">
      <c r="A448" s="12" t="s">
        <v>772</v>
      </c>
      <c r="B448" s="12" t="s">
        <v>576</v>
      </c>
      <c r="C448" s="12" t="s">
        <v>818</v>
      </c>
      <c r="D448" s="12" t="s">
        <v>454</v>
      </c>
      <c r="E448" s="12">
        <v>115</v>
      </c>
      <c r="F448" s="12">
        <v>79</v>
      </c>
      <c r="G448" s="12">
        <v>50</v>
      </c>
    </row>
    <row r="449" spans="1:7" ht="14.4" x14ac:dyDescent="0.3">
      <c r="A449" s="12" t="s">
        <v>772</v>
      </c>
      <c r="B449" s="12" t="s">
        <v>575</v>
      </c>
      <c r="C449" s="12" t="s">
        <v>816</v>
      </c>
      <c r="D449" s="12" t="s">
        <v>454</v>
      </c>
      <c r="E449" s="12">
        <v>113</v>
      </c>
      <c r="F449" s="12">
        <v>78</v>
      </c>
      <c r="G449" s="12">
        <v>49</v>
      </c>
    </row>
    <row r="450" spans="1:7" ht="14.4" x14ac:dyDescent="0.3">
      <c r="A450" s="12" t="s">
        <v>772</v>
      </c>
      <c r="B450" s="12" t="s">
        <v>553</v>
      </c>
      <c r="C450" s="12" t="s">
        <v>795</v>
      </c>
      <c r="D450" s="12" t="s">
        <v>454</v>
      </c>
      <c r="E450" s="12">
        <v>85</v>
      </c>
      <c r="F450" s="12">
        <v>58</v>
      </c>
      <c r="G450" s="12">
        <v>38</v>
      </c>
    </row>
    <row r="451" spans="1:7" ht="14.4" x14ac:dyDescent="0.3">
      <c r="A451" s="12" t="s">
        <v>772</v>
      </c>
      <c r="B451" s="12" t="s">
        <v>492</v>
      </c>
      <c r="C451" s="12" t="s">
        <v>794</v>
      </c>
      <c r="D451" s="12" t="s">
        <v>454</v>
      </c>
      <c r="E451" s="12">
        <v>83</v>
      </c>
      <c r="F451" s="12">
        <v>57</v>
      </c>
      <c r="G451" s="12">
        <v>37</v>
      </c>
    </row>
    <row r="452" spans="1:7" ht="14.4" x14ac:dyDescent="0.3">
      <c r="A452" s="12" t="s">
        <v>772</v>
      </c>
      <c r="B452" s="12" t="s">
        <v>666</v>
      </c>
      <c r="C452" s="12" t="s">
        <v>793</v>
      </c>
      <c r="D452" s="12" t="s">
        <v>454</v>
      </c>
      <c r="E452" s="12">
        <v>78</v>
      </c>
      <c r="F452" s="12">
        <v>54</v>
      </c>
      <c r="G452" s="12">
        <v>34</v>
      </c>
    </row>
    <row r="453" spans="1:7" ht="14.4" x14ac:dyDescent="0.3">
      <c r="A453" s="12" t="s">
        <v>772</v>
      </c>
      <c r="B453" s="12" t="s">
        <v>665</v>
      </c>
      <c r="C453" s="12" t="s">
        <v>792</v>
      </c>
      <c r="D453" s="12" t="s">
        <v>454</v>
      </c>
      <c r="E453" s="12">
        <v>77</v>
      </c>
      <c r="F453" s="12">
        <v>53</v>
      </c>
      <c r="G453" s="12">
        <v>33</v>
      </c>
    </row>
    <row r="454" spans="1:7" ht="14.4" x14ac:dyDescent="0.3">
      <c r="A454" s="12" t="s">
        <v>772</v>
      </c>
      <c r="B454" s="12" t="s">
        <v>543</v>
      </c>
      <c r="C454" s="12" t="s">
        <v>791</v>
      </c>
      <c r="D454" s="12" t="s">
        <v>454</v>
      </c>
      <c r="E454" s="12">
        <v>68</v>
      </c>
      <c r="F454" s="12">
        <v>48</v>
      </c>
      <c r="G454" s="12">
        <v>32</v>
      </c>
    </row>
    <row r="455" spans="1:7" ht="14.4" x14ac:dyDescent="0.3">
      <c r="A455" s="12" t="s">
        <v>772</v>
      </c>
      <c r="B455" s="12" t="s">
        <v>541</v>
      </c>
      <c r="C455" s="12" t="s">
        <v>788</v>
      </c>
      <c r="D455" s="12" t="s">
        <v>454</v>
      </c>
      <c r="E455" s="12">
        <v>63</v>
      </c>
      <c r="F455" s="12">
        <v>47</v>
      </c>
      <c r="G455" s="12">
        <v>31</v>
      </c>
    </row>
    <row r="456" spans="1:7" ht="14.4" x14ac:dyDescent="0.3">
      <c r="A456" s="12" t="s">
        <v>772</v>
      </c>
      <c r="B456" s="12" t="s">
        <v>532</v>
      </c>
      <c r="C456" s="12" t="s">
        <v>779</v>
      </c>
      <c r="D456" s="12" t="s">
        <v>454</v>
      </c>
      <c r="E456" s="12">
        <v>53</v>
      </c>
      <c r="F456" s="12">
        <v>40</v>
      </c>
      <c r="G456" s="12">
        <v>26</v>
      </c>
    </row>
    <row r="457" spans="1:7" ht="14.4" x14ac:dyDescent="0.3">
      <c r="A457" s="12" t="s">
        <v>772</v>
      </c>
      <c r="B457" s="12" t="s">
        <v>531</v>
      </c>
      <c r="C457" s="12" t="s">
        <v>778</v>
      </c>
      <c r="D457" s="12" t="s">
        <v>454</v>
      </c>
      <c r="E457" s="12">
        <v>52</v>
      </c>
      <c r="F457" s="12">
        <v>39</v>
      </c>
      <c r="G457" s="12">
        <v>25</v>
      </c>
    </row>
    <row r="458" spans="1:7" ht="14.4" x14ac:dyDescent="0.3">
      <c r="A458" s="12" t="s">
        <v>772</v>
      </c>
      <c r="B458" s="12" t="s">
        <v>486</v>
      </c>
      <c r="C458" s="12" t="s">
        <v>777</v>
      </c>
      <c r="D458" s="12" t="s">
        <v>454</v>
      </c>
      <c r="E458" s="12">
        <v>43</v>
      </c>
      <c r="F458" s="12">
        <v>30</v>
      </c>
      <c r="G458" s="12">
        <v>21</v>
      </c>
    </row>
    <row r="459" spans="1:7" ht="14.4" x14ac:dyDescent="0.3">
      <c r="A459" s="12" t="s">
        <v>772</v>
      </c>
      <c r="B459" s="12" t="s">
        <v>524</v>
      </c>
      <c r="C459" s="12" t="s">
        <v>776</v>
      </c>
      <c r="D459" s="12" t="s">
        <v>454</v>
      </c>
      <c r="E459" s="12">
        <v>42</v>
      </c>
      <c r="F459" s="12">
        <v>29</v>
      </c>
      <c r="G459" s="12">
        <v>20</v>
      </c>
    </row>
    <row r="460" spans="1:7" ht="14.4" x14ac:dyDescent="0.3">
      <c r="A460" s="12" t="s">
        <v>772</v>
      </c>
      <c r="B460" s="12" t="s">
        <v>539</v>
      </c>
      <c r="C460" s="12" t="s">
        <v>786</v>
      </c>
      <c r="D460" s="12" t="s">
        <v>454</v>
      </c>
      <c r="E460" s="12">
        <v>61</v>
      </c>
      <c r="F460" s="12">
        <v>46</v>
      </c>
      <c r="G460" s="12">
        <v>30</v>
      </c>
    </row>
    <row r="461" spans="1:7" ht="14.4" x14ac:dyDescent="0.3">
      <c r="A461" s="12" t="s">
        <v>772</v>
      </c>
      <c r="B461" s="12" t="s">
        <v>537</v>
      </c>
      <c r="C461" s="12" t="s">
        <v>783</v>
      </c>
      <c r="D461" s="12" t="s">
        <v>454</v>
      </c>
      <c r="E461" s="12">
        <v>59</v>
      </c>
      <c r="F461" s="12">
        <v>45</v>
      </c>
      <c r="G461" s="12">
        <v>29</v>
      </c>
    </row>
    <row r="462" spans="1:7" ht="14.4" x14ac:dyDescent="0.3">
      <c r="A462" s="12" t="s">
        <v>772</v>
      </c>
      <c r="B462" s="12" t="s">
        <v>535</v>
      </c>
      <c r="C462" s="12" t="s">
        <v>781</v>
      </c>
      <c r="D462" s="12" t="s">
        <v>454</v>
      </c>
      <c r="E462" s="12">
        <v>57</v>
      </c>
      <c r="F462" s="12">
        <v>44</v>
      </c>
      <c r="G462" s="12">
        <v>28</v>
      </c>
    </row>
    <row r="463" spans="1:7" ht="14.4" x14ac:dyDescent="0.3">
      <c r="A463" s="12" t="s">
        <v>772</v>
      </c>
      <c r="B463" s="12" t="s">
        <v>533</v>
      </c>
      <c r="C463" s="12" t="s">
        <v>780</v>
      </c>
      <c r="D463" s="12" t="s">
        <v>454</v>
      </c>
      <c r="E463" s="12">
        <v>56</v>
      </c>
      <c r="F463" s="12">
        <v>43</v>
      </c>
      <c r="G463" s="12">
        <v>27</v>
      </c>
    </row>
    <row r="464" spans="1:7" ht="14.4" x14ac:dyDescent="0.3">
      <c r="A464" s="12" t="s">
        <v>772</v>
      </c>
      <c r="B464" s="12" t="s">
        <v>644</v>
      </c>
      <c r="C464" s="12" t="s">
        <v>773</v>
      </c>
      <c r="D464" s="12" t="s">
        <v>454</v>
      </c>
      <c r="E464" s="12">
        <v>36</v>
      </c>
      <c r="F464" s="12"/>
      <c r="G464" s="12"/>
    </row>
    <row r="465" spans="1:7" ht="14.4" x14ac:dyDescent="0.3">
      <c r="A465" s="12" t="s">
        <v>772</v>
      </c>
      <c r="B465" s="12" t="s">
        <v>723</v>
      </c>
      <c r="C465" s="12" t="s">
        <v>774</v>
      </c>
      <c r="D465" s="12" t="s">
        <v>454</v>
      </c>
      <c r="E465" s="12">
        <v>37</v>
      </c>
      <c r="F465" s="12"/>
      <c r="G465" s="12"/>
    </row>
    <row r="466" spans="1:7" ht="14.4" x14ac:dyDescent="0.3">
      <c r="A466" s="12" t="s">
        <v>772</v>
      </c>
      <c r="B466" s="12" t="s">
        <v>724</v>
      </c>
      <c r="C466" s="12" t="s">
        <v>775</v>
      </c>
      <c r="D466" s="12" t="s">
        <v>454</v>
      </c>
      <c r="E466" s="12">
        <v>38</v>
      </c>
      <c r="F466" s="12"/>
      <c r="G466" s="12"/>
    </row>
    <row r="467" spans="1:7" ht="14.4" x14ac:dyDescent="0.3">
      <c r="A467" s="12" t="s">
        <v>772</v>
      </c>
      <c r="B467" s="12" t="s">
        <v>683</v>
      </c>
      <c r="C467" s="12" t="s">
        <v>782</v>
      </c>
      <c r="D467" s="12" t="s">
        <v>454</v>
      </c>
      <c r="E467" s="12">
        <v>58</v>
      </c>
      <c r="F467" s="12"/>
      <c r="G467" s="12"/>
    </row>
    <row r="468" spans="1:7" ht="14.4" x14ac:dyDescent="0.3">
      <c r="A468" s="12" t="s">
        <v>772</v>
      </c>
      <c r="B468" s="12" t="s">
        <v>784</v>
      </c>
      <c r="C468" s="12" t="s">
        <v>785</v>
      </c>
      <c r="D468" s="12" t="s">
        <v>454</v>
      </c>
      <c r="E468" s="12">
        <v>60</v>
      </c>
      <c r="F468" s="12"/>
      <c r="G468" s="12"/>
    </row>
    <row r="469" spans="1:7" ht="14.4" x14ac:dyDescent="0.3">
      <c r="A469" s="12" t="s">
        <v>772</v>
      </c>
      <c r="B469" s="12" t="s">
        <v>697</v>
      </c>
      <c r="C469" s="12" t="s">
        <v>787</v>
      </c>
      <c r="D469" s="12" t="s">
        <v>454</v>
      </c>
      <c r="E469" s="12">
        <v>62</v>
      </c>
      <c r="F469" s="12"/>
      <c r="G469" s="12"/>
    </row>
    <row r="470" spans="1:7" ht="14.4" x14ac:dyDescent="0.3">
      <c r="A470" s="12" t="s">
        <v>772</v>
      </c>
      <c r="B470" s="12" t="s">
        <v>660</v>
      </c>
      <c r="C470" s="12" t="s">
        <v>789</v>
      </c>
      <c r="D470" s="12" t="s">
        <v>454</v>
      </c>
      <c r="E470" s="12">
        <v>64</v>
      </c>
      <c r="F470" s="12"/>
      <c r="G470" s="12"/>
    </row>
    <row r="471" spans="1:7" ht="14.4" x14ac:dyDescent="0.3">
      <c r="A471" s="12" t="s">
        <v>772</v>
      </c>
      <c r="B471" s="12" t="s">
        <v>661</v>
      </c>
      <c r="C471" s="12" t="s">
        <v>790</v>
      </c>
      <c r="D471" s="12" t="s">
        <v>454</v>
      </c>
      <c r="E471" s="12">
        <v>65</v>
      </c>
      <c r="F471" s="12"/>
      <c r="G471" s="12"/>
    </row>
    <row r="472" spans="1:7" ht="14.4" x14ac:dyDescent="0.3">
      <c r="A472" s="12" t="s">
        <v>772</v>
      </c>
      <c r="B472" s="12" t="s">
        <v>560</v>
      </c>
      <c r="C472" s="12" t="s">
        <v>801</v>
      </c>
      <c r="D472" s="12" t="s">
        <v>454</v>
      </c>
      <c r="E472" s="12">
        <v>97</v>
      </c>
      <c r="F472" s="12">
        <v>67</v>
      </c>
      <c r="G472" s="12">
        <v>42</v>
      </c>
    </row>
    <row r="473" spans="1:7" ht="14.4" x14ac:dyDescent="0.3">
      <c r="A473" s="12" t="s">
        <v>772</v>
      </c>
      <c r="B473" s="12" t="s">
        <v>559</v>
      </c>
      <c r="C473" s="12" t="s">
        <v>800</v>
      </c>
      <c r="D473" s="12" t="s">
        <v>454</v>
      </c>
      <c r="E473" s="12">
        <v>96</v>
      </c>
      <c r="F473" s="12">
        <v>66</v>
      </c>
      <c r="G473" s="12"/>
    </row>
    <row r="474" spans="1:7" ht="14.4" x14ac:dyDescent="0.3">
      <c r="A474" s="12" t="s">
        <v>772</v>
      </c>
      <c r="B474" s="12" t="s">
        <v>567</v>
      </c>
      <c r="C474" s="12" t="s">
        <v>809</v>
      </c>
      <c r="D474" s="12" t="s">
        <v>454</v>
      </c>
      <c r="E474" s="12">
        <v>105</v>
      </c>
      <c r="F474" s="12">
        <v>73</v>
      </c>
      <c r="G474" s="12">
        <v>48</v>
      </c>
    </row>
    <row r="475" spans="1:7" ht="14.4" x14ac:dyDescent="0.3">
      <c r="A475" s="12" t="s">
        <v>772</v>
      </c>
      <c r="B475" s="12" t="s">
        <v>565</v>
      </c>
      <c r="C475" s="12" t="s">
        <v>808</v>
      </c>
      <c r="D475" s="12" t="s">
        <v>454</v>
      </c>
      <c r="E475" s="12">
        <v>104</v>
      </c>
      <c r="F475" s="12">
        <v>72</v>
      </c>
      <c r="G475" s="12">
        <v>47</v>
      </c>
    </row>
    <row r="476" spans="1:7" ht="14.4" x14ac:dyDescent="0.3">
      <c r="A476" s="12" t="s">
        <v>772</v>
      </c>
      <c r="B476" s="12" t="s">
        <v>564</v>
      </c>
      <c r="C476" s="12" t="s">
        <v>806</v>
      </c>
      <c r="D476" s="12" t="s">
        <v>454</v>
      </c>
      <c r="E476" s="12">
        <v>102</v>
      </c>
      <c r="F476" s="12">
        <v>71</v>
      </c>
      <c r="G476" s="12">
        <v>46</v>
      </c>
    </row>
    <row r="477" spans="1:7" ht="14.4" x14ac:dyDescent="0.3">
      <c r="A477" s="12" t="s">
        <v>772</v>
      </c>
      <c r="B477" s="12" t="s">
        <v>563</v>
      </c>
      <c r="C477" s="12" t="s">
        <v>805</v>
      </c>
      <c r="D477" s="12" t="s">
        <v>454</v>
      </c>
      <c r="E477" s="12">
        <v>101</v>
      </c>
      <c r="F477" s="12">
        <v>70</v>
      </c>
      <c r="G477" s="12">
        <v>45</v>
      </c>
    </row>
    <row r="478" spans="1:7" ht="14.4" x14ac:dyDescent="0.3">
      <c r="A478" s="12" t="s">
        <v>772</v>
      </c>
      <c r="B478" s="12" t="s">
        <v>618</v>
      </c>
      <c r="C478" s="12" t="s">
        <v>820</v>
      </c>
      <c r="D478" s="12" t="s">
        <v>454</v>
      </c>
      <c r="E478" s="12">
        <v>118</v>
      </c>
      <c r="F478" s="12">
        <v>81</v>
      </c>
      <c r="G478" s="12">
        <v>52</v>
      </c>
    </row>
    <row r="479" spans="1:7" ht="14.4" x14ac:dyDescent="0.3">
      <c r="A479" s="12" t="s">
        <v>772</v>
      </c>
      <c r="B479" s="12" t="s">
        <v>617</v>
      </c>
      <c r="C479" s="12" t="s">
        <v>819</v>
      </c>
      <c r="D479" s="12" t="s">
        <v>454</v>
      </c>
      <c r="E479" s="12">
        <v>117</v>
      </c>
      <c r="F479" s="12">
        <v>80</v>
      </c>
      <c r="G479" s="12">
        <v>51</v>
      </c>
    </row>
    <row r="480" spans="1:7" ht="14.4" x14ac:dyDescent="0.3">
      <c r="A480" s="12" t="s">
        <v>772</v>
      </c>
      <c r="B480" s="12" t="s">
        <v>562</v>
      </c>
      <c r="C480" s="12" t="s">
        <v>804</v>
      </c>
      <c r="D480" s="12" t="s">
        <v>454</v>
      </c>
      <c r="E480" s="12">
        <v>100</v>
      </c>
      <c r="F480" s="12">
        <v>69</v>
      </c>
      <c r="G480" s="12">
        <v>44</v>
      </c>
    </row>
    <row r="481" spans="1:7" ht="14.4" x14ac:dyDescent="0.3">
      <c r="A481" s="12" t="s">
        <v>772</v>
      </c>
      <c r="B481" s="12" t="s">
        <v>561</v>
      </c>
      <c r="C481" s="12" t="s">
        <v>802</v>
      </c>
      <c r="D481" s="12" t="s">
        <v>454</v>
      </c>
      <c r="E481" s="12">
        <v>98</v>
      </c>
      <c r="F481" s="12">
        <v>68</v>
      </c>
      <c r="G481" s="12">
        <v>43</v>
      </c>
    </row>
    <row r="482" spans="1:7" ht="14.4" x14ac:dyDescent="0.3">
      <c r="A482" s="12" t="s">
        <v>772</v>
      </c>
      <c r="B482" s="12" t="s">
        <v>560</v>
      </c>
      <c r="C482" s="12" t="s">
        <v>801</v>
      </c>
      <c r="D482" s="12" t="s">
        <v>454</v>
      </c>
      <c r="E482" s="12">
        <v>97</v>
      </c>
      <c r="F482" s="12">
        <v>67</v>
      </c>
      <c r="G482" s="12">
        <v>42</v>
      </c>
    </row>
    <row r="483" spans="1:7" ht="14.4" x14ac:dyDescent="0.3">
      <c r="A483" s="12" t="s">
        <v>772</v>
      </c>
      <c r="B483" s="12" t="s">
        <v>559</v>
      </c>
      <c r="C483" s="12" t="s">
        <v>800</v>
      </c>
      <c r="D483" s="12" t="s">
        <v>454</v>
      </c>
      <c r="E483" s="12">
        <v>96</v>
      </c>
      <c r="F483" s="12">
        <v>66</v>
      </c>
      <c r="G483" s="12"/>
    </row>
    <row r="484" spans="1:7" ht="14.4" x14ac:dyDescent="0.3">
      <c r="A484" s="12" t="s">
        <v>772</v>
      </c>
      <c r="B484" s="12" t="s">
        <v>490</v>
      </c>
      <c r="C484" s="12" t="s">
        <v>824</v>
      </c>
      <c r="D484" s="12" t="s">
        <v>454</v>
      </c>
      <c r="E484" s="12">
        <v>122</v>
      </c>
      <c r="F484" s="12">
        <v>85</v>
      </c>
      <c r="G484" s="12">
        <v>54</v>
      </c>
    </row>
    <row r="485" spans="1:7" ht="14.4" x14ac:dyDescent="0.3">
      <c r="A485" s="12" t="s">
        <v>772</v>
      </c>
      <c r="B485" s="12" t="s">
        <v>489</v>
      </c>
      <c r="C485" s="12" t="s">
        <v>823</v>
      </c>
      <c r="D485" s="12" t="s">
        <v>454</v>
      </c>
      <c r="E485" s="12">
        <v>121</v>
      </c>
      <c r="F485" s="12">
        <v>84</v>
      </c>
      <c r="G485" s="12">
        <v>53</v>
      </c>
    </row>
    <row r="486" spans="1:7" ht="14.4" x14ac:dyDescent="0.3">
      <c r="A486" s="12" t="s">
        <v>772</v>
      </c>
      <c r="B486" s="12" t="s">
        <v>578</v>
      </c>
      <c r="C486" s="12" t="s">
        <v>822</v>
      </c>
      <c r="D486" s="12" t="s">
        <v>454</v>
      </c>
      <c r="E486" s="12">
        <v>120</v>
      </c>
      <c r="F486" s="12">
        <v>83</v>
      </c>
      <c r="G486" s="12"/>
    </row>
    <row r="487" spans="1:7" ht="14.4" x14ac:dyDescent="0.3">
      <c r="A487" s="12" t="s">
        <v>772</v>
      </c>
      <c r="B487" s="12" t="s">
        <v>577</v>
      </c>
      <c r="C487" s="12" t="s">
        <v>821</v>
      </c>
      <c r="D487" s="12" t="s">
        <v>454</v>
      </c>
      <c r="E487" s="12">
        <v>119</v>
      </c>
      <c r="F487" s="12">
        <v>82</v>
      </c>
      <c r="G487" s="12"/>
    </row>
    <row r="488" spans="1:7" ht="14.4" x14ac:dyDescent="0.3">
      <c r="A488" s="12" t="s">
        <v>772</v>
      </c>
      <c r="B488" s="12" t="s">
        <v>558</v>
      </c>
      <c r="C488" s="12" t="s">
        <v>799</v>
      </c>
      <c r="D488" s="12" t="s">
        <v>454</v>
      </c>
      <c r="E488" s="12">
        <v>95</v>
      </c>
      <c r="F488" s="12">
        <v>65</v>
      </c>
      <c r="G488" s="12"/>
    </row>
    <row r="489" spans="1:7" ht="14.4" x14ac:dyDescent="0.3">
      <c r="A489" s="12" t="s">
        <v>772</v>
      </c>
      <c r="B489" s="12" t="s">
        <v>557</v>
      </c>
      <c r="C489" s="12" t="s">
        <v>798</v>
      </c>
      <c r="D489" s="12" t="s">
        <v>454</v>
      </c>
      <c r="E489" s="12">
        <v>94</v>
      </c>
      <c r="F489" s="12">
        <v>64</v>
      </c>
      <c r="G489" s="12"/>
    </row>
    <row r="490" spans="1:7" ht="14.4" x14ac:dyDescent="0.3">
      <c r="A490" s="12" t="s">
        <v>772</v>
      </c>
      <c r="B490" s="12" t="s">
        <v>652</v>
      </c>
      <c r="C490" s="12" t="s">
        <v>796</v>
      </c>
      <c r="D490" s="12" t="s">
        <v>454</v>
      </c>
      <c r="E490" s="12">
        <v>88</v>
      </c>
      <c r="F490" s="12"/>
      <c r="G490" s="12"/>
    </row>
    <row r="491" spans="1:7" ht="14.4" x14ac:dyDescent="0.3">
      <c r="A491" s="12" t="s">
        <v>772</v>
      </c>
      <c r="B491" s="12" t="s">
        <v>725</v>
      </c>
      <c r="C491" s="12" t="s">
        <v>797</v>
      </c>
      <c r="D491" s="12" t="s">
        <v>454</v>
      </c>
      <c r="E491" s="12">
        <v>89</v>
      </c>
      <c r="F491" s="12"/>
      <c r="G491" s="12"/>
    </row>
    <row r="492" spans="1:7" ht="14.4" x14ac:dyDescent="0.3">
      <c r="A492" s="12" t="s">
        <v>772</v>
      </c>
      <c r="B492" s="12" t="s">
        <v>657</v>
      </c>
      <c r="C492" s="12" t="s">
        <v>803</v>
      </c>
      <c r="D492" s="12" t="s">
        <v>454</v>
      </c>
      <c r="E492" s="12">
        <v>99</v>
      </c>
      <c r="F492" s="12"/>
      <c r="G492" s="12"/>
    </row>
    <row r="493" spans="1:7" ht="14.4" x14ac:dyDescent="0.3">
      <c r="A493" s="12" t="s">
        <v>772</v>
      </c>
      <c r="B493" s="12" t="s">
        <v>658</v>
      </c>
      <c r="C493" s="12" t="s">
        <v>807</v>
      </c>
      <c r="D493" s="12" t="s">
        <v>454</v>
      </c>
      <c r="E493" s="12">
        <v>103</v>
      </c>
      <c r="F493" s="12"/>
      <c r="G493" s="12"/>
    </row>
    <row r="494" spans="1:7" ht="14.4" x14ac:dyDescent="0.3">
      <c r="A494" s="12" t="s">
        <v>772</v>
      </c>
      <c r="B494" s="12" t="s">
        <v>810</v>
      </c>
      <c r="C494" s="12" t="s">
        <v>811</v>
      </c>
      <c r="D494" s="12" t="s">
        <v>454</v>
      </c>
      <c r="E494" s="12">
        <v>106</v>
      </c>
      <c r="F494" s="12"/>
      <c r="G494" s="12"/>
    </row>
    <row r="495" spans="1:7" ht="14.4" x14ac:dyDescent="0.3">
      <c r="A495" s="12" t="s">
        <v>772</v>
      </c>
      <c r="B495" s="12" t="s">
        <v>812</v>
      </c>
      <c r="C495" s="12" t="s">
        <v>813</v>
      </c>
      <c r="D495" s="12" t="s">
        <v>454</v>
      </c>
      <c r="E495" s="12">
        <v>110</v>
      </c>
      <c r="F495" s="12"/>
      <c r="G495" s="12"/>
    </row>
    <row r="496" spans="1:7" ht="14.4" x14ac:dyDescent="0.3">
      <c r="A496" s="12" t="s">
        <v>772</v>
      </c>
      <c r="B496" s="12" t="s">
        <v>814</v>
      </c>
      <c r="C496" s="12" t="s">
        <v>815</v>
      </c>
      <c r="D496" s="12" t="s">
        <v>454</v>
      </c>
      <c r="E496" s="12">
        <v>112</v>
      </c>
      <c r="F496" s="12"/>
      <c r="G496" s="12"/>
    </row>
    <row r="497" spans="1:7" ht="14.4" x14ac:dyDescent="0.3">
      <c r="A497" s="12" t="s">
        <v>772</v>
      </c>
      <c r="B497" s="12" t="s">
        <v>708</v>
      </c>
      <c r="C497" s="12" t="s">
        <v>817</v>
      </c>
      <c r="D497" s="12" t="s">
        <v>454</v>
      </c>
      <c r="E497" s="12">
        <v>114</v>
      </c>
      <c r="F497" s="12"/>
      <c r="G497" s="12"/>
    </row>
    <row r="498" spans="1:7" ht="14.4" x14ac:dyDescent="0.3">
      <c r="A498" s="12" t="s">
        <v>772</v>
      </c>
      <c r="B498" s="12" t="s">
        <v>666</v>
      </c>
      <c r="C498" s="12" t="s">
        <v>793</v>
      </c>
      <c r="D498" s="12" t="s">
        <v>454</v>
      </c>
      <c r="E498" s="12">
        <v>78</v>
      </c>
      <c r="F498" s="12">
        <v>54</v>
      </c>
      <c r="G498" s="12">
        <v>34</v>
      </c>
    </row>
    <row r="499" spans="1:7" ht="14.4" x14ac:dyDescent="0.3">
      <c r="A499" s="12" t="s">
        <v>772</v>
      </c>
      <c r="B499" s="12" t="s">
        <v>665</v>
      </c>
      <c r="C499" s="12" t="s">
        <v>792</v>
      </c>
      <c r="D499" s="12" t="s">
        <v>454</v>
      </c>
      <c r="E499" s="12">
        <v>77</v>
      </c>
      <c r="F499" s="12">
        <v>53</v>
      </c>
      <c r="G499" s="12">
        <v>33</v>
      </c>
    </row>
    <row r="500" spans="1:7" ht="14.4" x14ac:dyDescent="0.3">
      <c r="A500" s="12" t="s">
        <v>825</v>
      </c>
      <c r="B500" s="12" t="s">
        <v>484</v>
      </c>
      <c r="C500" s="12" t="s">
        <v>835</v>
      </c>
      <c r="D500" s="12" t="s">
        <v>450</v>
      </c>
      <c r="E500" s="12">
        <v>28</v>
      </c>
      <c r="F500" s="12">
        <v>21</v>
      </c>
      <c r="G500" s="12">
        <v>14</v>
      </c>
    </row>
    <row r="501" spans="1:7" ht="14.4" x14ac:dyDescent="0.3">
      <c r="A501" s="12" t="s">
        <v>825</v>
      </c>
      <c r="B501" s="12" t="s">
        <v>836</v>
      </c>
      <c r="C501" s="12" t="s">
        <v>835</v>
      </c>
      <c r="D501" s="12" t="s">
        <v>450</v>
      </c>
      <c r="E501" s="12">
        <v>34</v>
      </c>
      <c r="F501" s="12">
        <v>24</v>
      </c>
      <c r="G501" s="12"/>
    </row>
    <row r="502" spans="1:7" ht="14.4" x14ac:dyDescent="0.3">
      <c r="A502" s="12" t="s">
        <v>825</v>
      </c>
      <c r="B502" s="12" t="s">
        <v>586</v>
      </c>
      <c r="C502" s="12" t="s">
        <v>835</v>
      </c>
      <c r="D502" s="12" t="s">
        <v>450</v>
      </c>
      <c r="E502" s="12">
        <v>135</v>
      </c>
      <c r="F502" s="12">
        <v>91</v>
      </c>
      <c r="G502" s="12">
        <v>57</v>
      </c>
    </row>
    <row r="503" spans="1:7" ht="14.4" x14ac:dyDescent="0.3">
      <c r="A503" s="12" t="s">
        <v>825</v>
      </c>
      <c r="B503" s="12" t="s">
        <v>576</v>
      </c>
      <c r="C503" s="12" t="s">
        <v>832</v>
      </c>
      <c r="D503" s="12" t="s">
        <v>454</v>
      </c>
      <c r="E503" s="12">
        <v>115</v>
      </c>
      <c r="F503" s="12">
        <v>79</v>
      </c>
      <c r="G503" s="12">
        <v>50</v>
      </c>
    </row>
    <row r="504" spans="1:7" ht="14.4" x14ac:dyDescent="0.3">
      <c r="A504" s="12" t="s">
        <v>825</v>
      </c>
      <c r="B504" s="12" t="s">
        <v>575</v>
      </c>
      <c r="C504" s="12" t="s">
        <v>831</v>
      </c>
      <c r="D504" s="12" t="s">
        <v>454</v>
      </c>
      <c r="E504" s="12">
        <v>113</v>
      </c>
      <c r="F504" s="12">
        <v>78</v>
      </c>
      <c r="G504" s="12">
        <v>49</v>
      </c>
    </row>
    <row r="505" spans="1:7" ht="14.4" x14ac:dyDescent="0.3">
      <c r="A505" s="12" t="s">
        <v>825</v>
      </c>
      <c r="B505" s="12" t="s">
        <v>466</v>
      </c>
      <c r="C505" s="12" t="s">
        <v>833</v>
      </c>
      <c r="D505" s="12" t="s">
        <v>454</v>
      </c>
      <c r="E505" s="12">
        <v>140</v>
      </c>
      <c r="F505" s="12">
        <v>96</v>
      </c>
      <c r="G505" s="12">
        <v>62</v>
      </c>
    </row>
    <row r="506" spans="1:7" ht="14.4" x14ac:dyDescent="0.3">
      <c r="A506" s="12" t="s">
        <v>825</v>
      </c>
      <c r="B506" s="12" t="s">
        <v>518</v>
      </c>
      <c r="C506" s="12" t="s">
        <v>826</v>
      </c>
      <c r="D506" s="12" t="s">
        <v>454</v>
      </c>
      <c r="E506" s="12">
        <v>39</v>
      </c>
      <c r="F506" s="12">
        <v>26</v>
      </c>
      <c r="G506" s="12">
        <v>17</v>
      </c>
    </row>
    <row r="507" spans="1:7" ht="14.4" x14ac:dyDescent="0.3">
      <c r="A507" s="12" t="s">
        <v>825</v>
      </c>
      <c r="B507" s="12" t="s">
        <v>524</v>
      </c>
      <c r="C507" s="12" t="s">
        <v>827</v>
      </c>
      <c r="D507" s="12" t="s">
        <v>454</v>
      </c>
      <c r="E507" s="12">
        <v>42</v>
      </c>
      <c r="F507" s="12">
        <v>29</v>
      </c>
      <c r="G507" s="12">
        <v>20</v>
      </c>
    </row>
    <row r="508" spans="1:7" ht="14.4" x14ac:dyDescent="0.3">
      <c r="A508" s="12" t="s">
        <v>825</v>
      </c>
      <c r="B508" s="12" t="s">
        <v>486</v>
      </c>
      <c r="C508" s="12" t="s">
        <v>828</v>
      </c>
      <c r="D508" s="12" t="s">
        <v>454</v>
      </c>
      <c r="E508" s="12">
        <v>43</v>
      </c>
      <c r="F508" s="12">
        <v>30</v>
      </c>
      <c r="G508" s="12">
        <v>21</v>
      </c>
    </row>
    <row r="509" spans="1:7" ht="14.4" x14ac:dyDescent="0.3">
      <c r="A509" s="12" t="s">
        <v>825</v>
      </c>
      <c r="B509" s="12" t="s">
        <v>488</v>
      </c>
      <c r="C509" s="12" t="s">
        <v>829</v>
      </c>
      <c r="D509" s="12" t="s">
        <v>454</v>
      </c>
      <c r="E509" s="12">
        <v>44</v>
      </c>
      <c r="F509" s="12">
        <v>31</v>
      </c>
      <c r="G509" s="12">
        <v>22</v>
      </c>
    </row>
    <row r="510" spans="1:7" ht="14.4" x14ac:dyDescent="0.3">
      <c r="A510" s="12" t="s">
        <v>825</v>
      </c>
      <c r="B510" s="12" t="s">
        <v>593</v>
      </c>
      <c r="C510" s="12" t="s">
        <v>830</v>
      </c>
      <c r="D510" s="12" t="s">
        <v>454</v>
      </c>
      <c r="E510" s="12">
        <v>45</v>
      </c>
      <c r="F510" s="12">
        <v>32</v>
      </c>
      <c r="G510" s="12">
        <v>23</v>
      </c>
    </row>
    <row r="511" spans="1:7" ht="14.4" x14ac:dyDescent="0.3">
      <c r="A511" s="12" t="s">
        <v>825</v>
      </c>
      <c r="B511" s="12" t="s">
        <v>470</v>
      </c>
      <c r="C511" s="12" t="s">
        <v>834</v>
      </c>
      <c r="D511" s="12" t="s">
        <v>476</v>
      </c>
      <c r="E511" s="12">
        <v>142</v>
      </c>
      <c r="F511" s="12">
        <v>98</v>
      </c>
      <c r="G511" s="12">
        <v>64</v>
      </c>
    </row>
    <row r="512" spans="1:7" ht="14.4" x14ac:dyDescent="0.3">
      <c r="A512" s="12" t="s">
        <v>825</v>
      </c>
      <c r="B512" s="12" t="s">
        <v>504</v>
      </c>
      <c r="C512" s="12" t="s">
        <v>834</v>
      </c>
      <c r="D512" s="12" t="s">
        <v>463</v>
      </c>
      <c r="E512" s="12">
        <v>21</v>
      </c>
      <c r="F512" s="12">
        <v>18</v>
      </c>
      <c r="G512" s="12">
        <v>13</v>
      </c>
    </row>
    <row r="513" spans="1:7" ht="14.4" x14ac:dyDescent="0.3">
      <c r="A513" s="12" t="s">
        <v>837</v>
      </c>
      <c r="B513" s="12" t="s">
        <v>576</v>
      </c>
      <c r="C513" s="12" t="s">
        <v>853</v>
      </c>
      <c r="D513" s="12" t="s">
        <v>591</v>
      </c>
      <c r="E513" s="12">
        <v>115</v>
      </c>
      <c r="F513" s="12">
        <v>79</v>
      </c>
      <c r="G513" s="12">
        <v>50</v>
      </c>
    </row>
    <row r="514" spans="1:7" ht="14.4" x14ac:dyDescent="0.3">
      <c r="A514" s="12" t="s">
        <v>837</v>
      </c>
      <c r="B514" s="12" t="s">
        <v>575</v>
      </c>
      <c r="C514" s="12" t="s">
        <v>852</v>
      </c>
      <c r="D514" s="12" t="s">
        <v>591</v>
      </c>
      <c r="E514" s="12">
        <v>113</v>
      </c>
      <c r="F514" s="12">
        <v>78</v>
      </c>
      <c r="G514" s="12">
        <v>49</v>
      </c>
    </row>
    <row r="515" spans="1:7" ht="14.4" x14ac:dyDescent="0.3">
      <c r="A515" s="12" t="s">
        <v>837</v>
      </c>
      <c r="B515" s="12" t="s">
        <v>666</v>
      </c>
      <c r="C515" s="12" t="s">
        <v>847</v>
      </c>
      <c r="D515" s="12" t="s">
        <v>474</v>
      </c>
      <c r="E515" s="12">
        <v>78</v>
      </c>
      <c r="F515" s="12">
        <v>54</v>
      </c>
      <c r="G515" s="12">
        <v>34</v>
      </c>
    </row>
    <row r="516" spans="1:7" ht="14.4" x14ac:dyDescent="0.3">
      <c r="A516" s="12" t="s">
        <v>837</v>
      </c>
      <c r="B516" s="12" t="s">
        <v>636</v>
      </c>
      <c r="C516" s="12" t="s">
        <v>847</v>
      </c>
      <c r="D516" s="12" t="s">
        <v>476</v>
      </c>
      <c r="E516" s="12">
        <v>24</v>
      </c>
      <c r="F516" s="12"/>
      <c r="G516" s="12"/>
    </row>
    <row r="517" spans="1:7" ht="14.4" x14ac:dyDescent="0.3">
      <c r="A517" s="12" t="s">
        <v>837</v>
      </c>
      <c r="B517" s="12" t="s">
        <v>486</v>
      </c>
      <c r="C517" s="12" t="s">
        <v>847</v>
      </c>
      <c r="D517" s="12" t="s">
        <v>476</v>
      </c>
      <c r="E517" s="12">
        <v>43</v>
      </c>
      <c r="F517" s="12">
        <v>30</v>
      </c>
      <c r="G517" s="12">
        <v>21</v>
      </c>
    </row>
    <row r="518" spans="1:7" ht="14.4" x14ac:dyDescent="0.3">
      <c r="A518" s="12" t="s">
        <v>837</v>
      </c>
      <c r="B518" s="12" t="s">
        <v>567</v>
      </c>
      <c r="C518" s="12" t="s">
        <v>847</v>
      </c>
      <c r="D518" s="12" t="s">
        <v>483</v>
      </c>
      <c r="E518" s="12">
        <v>105</v>
      </c>
      <c r="F518" s="12">
        <v>73</v>
      </c>
      <c r="G518" s="12">
        <v>48</v>
      </c>
    </row>
    <row r="519" spans="1:7" ht="14.4" x14ac:dyDescent="0.3">
      <c r="A519" s="12" t="s">
        <v>837</v>
      </c>
      <c r="B519" s="12" t="s">
        <v>665</v>
      </c>
      <c r="C519" s="12" t="s">
        <v>846</v>
      </c>
      <c r="D519" s="12" t="s">
        <v>474</v>
      </c>
      <c r="E519" s="12">
        <v>77</v>
      </c>
      <c r="F519" s="12">
        <v>53</v>
      </c>
      <c r="G519" s="12">
        <v>33</v>
      </c>
    </row>
    <row r="520" spans="1:7" ht="14.4" x14ac:dyDescent="0.3">
      <c r="A520" s="12" t="s">
        <v>837</v>
      </c>
      <c r="B520" s="12" t="s">
        <v>634</v>
      </c>
      <c r="C520" s="12" t="s">
        <v>846</v>
      </c>
      <c r="D520" s="12" t="s">
        <v>476</v>
      </c>
      <c r="E520" s="12">
        <v>22</v>
      </c>
      <c r="F520" s="12"/>
      <c r="G520" s="12"/>
    </row>
    <row r="521" spans="1:7" ht="14.4" x14ac:dyDescent="0.3">
      <c r="A521" s="12" t="s">
        <v>837</v>
      </c>
      <c r="B521" s="12" t="s">
        <v>524</v>
      </c>
      <c r="C521" s="12" t="s">
        <v>846</v>
      </c>
      <c r="D521" s="12" t="s">
        <v>476</v>
      </c>
      <c r="E521" s="12">
        <v>42</v>
      </c>
      <c r="F521" s="12">
        <v>29</v>
      </c>
      <c r="G521" s="12">
        <v>20</v>
      </c>
    </row>
    <row r="522" spans="1:7" ht="14.4" x14ac:dyDescent="0.3">
      <c r="A522" s="12" t="s">
        <v>837</v>
      </c>
      <c r="B522" s="12" t="s">
        <v>565</v>
      </c>
      <c r="C522" s="12" t="s">
        <v>846</v>
      </c>
      <c r="D522" s="12" t="s">
        <v>483</v>
      </c>
      <c r="E522" s="12">
        <v>104</v>
      </c>
      <c r="F522" s="12">
        <v>72</v>
      </c>
      <c r="G522" s="12">
        <v>47</v>
      </c>
    </row>
    <row r="523" spans="1:7" ht="14.4" x14ac:dyDescent="0.3">
      <c r="A523" s="12" t="s">
        <v>837</v>
      </c>
      <c r="B523" s="12" t="s">
        <v>606</v>
      </c>
      <c r="C523" s="12" t="s">
        <v>839</v>
      </c>
      <c r="D523" s="12" t="s">
        <v>474</v>
      </c>
      <c r="E523" s="12">
        <v>2</v>
      </c>
      <c r="F523" s="12">
        <v>2</v>
      </c>
      <c r="G523" s="12"/>
    </row>
    <row r="524" spans="1:7" ht="14.4" x14ac:dyDescent="0.3">
      <c r="A524" s="12" t="s">
        <v>837</v>
      </c>
      <c r="B524" s="12" t="s">
        <v>490</v>
      </c>
      <c r="C524" s="12" t="s">
        <v>839</v>
      </c>
      <c r="D524" s="12" t="s">
        <v>450</v>
      </c>
      <c r="E524" s="12">
        <v>122</v>
      </c>
      <c r="F524" s="12">
        <v>85</v>
      </c>
      <c r="G524" s="12">
        <v>54</v>
      </c>
    </row>
    <row r="525" spans="1:7" ht="14.4" x14ac:dyDescent="0.3">
      <c r="A525" s="12" t="s">
        <v>837</v>
      </c>
      <c r="B525" s="12" t="s">
        <v>553</v>
      </c>
      <c r="C525" s="12" t="s">
        <v>839</v>
      </c>
      <c r="D525" s="12" t="s">
        <v>463</v>
      </c>
      <c r="E525" s="12">
        <v>85</v>
      </c>
      <c r="F525" s="12">
        <v>58</v>
      </c>
      <c r="G525" s="12">
        <v>38</v>
      </c>
    </row>
    <row r="526" spans="1:7" ht="14.4" x14ac:dyDescent="0.3">
      <c r="A526" s="12" t="s">
        <v>837</v>
      </c>
      <c r="B526" s="12" t="s">
        <v>605</v>
      </c>
      <c r="C526" s="12" t="s">
        <v>838</v>
      </c>
      <c r="D526" s="12" t="s">
        <v>474</v>
      </c>
      <c r="E526" s="12">
        <v>1</v>
      </c>
      <c r="F526" s="12">
        <v>1</v>
      </c>
      <c r="G526" s="12"/>
    </row>
    <row r="527" spans="1:7" ht="14.4" x14ac:dyDescent="0.3">
      <c r="A527" s="12" t="s">
        <v>837</v>
      </c>
      <c r="B527" s="12" t="s">
        <v>489</v>
      </c>
      <c r="C527" s="12" t="s">
        <v>838</v>
      </c>
      <c r="D527" s="12" t="s">
        <v>450</v>
      </c>
      <c r="E527" s="12">
        <v>121</v>
      </c>
      <c r="F527" s="12">
        <v>84</v>
      </c>
      <c r="G527" s="12">
        <v>53</v>
      </c>
    </row>
    <row r="528" spans="1:7" ht="14.4" x14ac:dyDescent="0.3">
      <c r="A528" s="12" t="s">
        <v>837</v>
      </c>
      <c r="B528" s="12" t="s">
        <v>492</v>
      </c>
      <c r="C528" s="12" t="s">
        <v>838</v>
      </c>
      <c r="D528" s="12" t="s">
        <v>463</v>
      </c>
      <c r="E528" s="12">
        <v>83</v>
      </c>
      <c r="F528" s="12">
        <v>57</v>
      </c>
      <c r="G528" s="12">
        <v>37</v>
      </c>
    </row>
    <row r="529" spans="1:7" ht="14.4" x14ac:dyDescent="0.3">
      <c r="A529" s="12" t="s">
        <v>837</v>
      </c>
      <c r="B529" s="12" t="s">
        <v>598</v>
      </c>
      <c r="C529" s="12" t="s">
        <v>849</v>
      </c>
      <c r="D529" s="12" t="s">
        <v>474</v>
      </c>
      <c r="E529" s="12">
        <v>81</v>
      </c>
      <c r="F529" s="12">
        <v>56</v>
      </c>
      <c r="G529" s="12">
        <v>36</v>
      </c>
    </row>
    <row r="530" spans="1:7" ht="14.4" x14ac:dyDescent="0.3">
      <c r="A530" s="12" t="s">
        <v>837</v>
      </c>
      <c r="B530" s="12" t="s">
        <v>618</v>
      </c>
      <c r="C530" s="12" t="s">
        <v>849</v>
      </c>
      <c r="D530" s="12" t="s">
        <v>474</v>
      </c>
      <c r="E530" s="12">
        <v>118</v>
      </c>
      <c r="F530" s="12">
        <v>81</v>
      </c>
      <c r="G530" s="12">
        <v>52</v>
      </c>
    </row>
    <row r="531" spans="1:7" ht="14.4" x14ac:dyDescent="0.3">
      <c r="A531" s="12" t="s">
        <v>837</v>
      </c>
      <c r="B531" s="12" t="s">
        <v>516</v>
      </c>
      <c r="C531" s="12" t="s">
        <v>849</v>
      </c>
      <c r="D531" s="12" t="s">
        <v>591</v>
      </c>
      <c r="E531" s="12">
        <v>35</v>
      </c>
      <c r="F531" s="12">
        <v>25</v>
      </c>
      <c r="G531" s="12"/>
    </row>
    <row r="532" spans="1:7" ht="14.4" x14ac:dyDescent="0.3">
      <c r="A532" s="12" t="s">
        <v>837</v>
      </c>
      <c r="B532" s="12" t="s">
        <v>784</v>
      </c>
      <c r="C532" s="12" t="s">
        <v>849</v>
      </c>
      <c r="D532" s="12" t="s">
        <v>591</v>
      </c>
      <c r="E532" s="12">
        <v>60</v>
      </c>
      <c r="F532" s="12"/>
      <c r="G532" s="12"/>
    </row>
    <row r="533" spans="1:7" ht="14.4" x14ac:dyDescent="0.3">
      <c r="A533" s="12" t="s">
        <v>837</v>
      </c>
      <c r="B533" s="12" t="s">
        <v>596</v>
      </c>
      <c r="C533" s="12" t="s">
        <v>848</v>
      </c>
      <c r="D533" s="12" t="s">
        <v>474</v>
      </c>
      <c r="E533" s="12">
        <v>80</v>
      </c>
      <c r="F533" s="12">
        <v>55</v>
      </c>
      <c r="G533" s="12">
        <v>35</v>
      </c>
    </row>
    <row r="534" spans="1:7" ht="14.4" x14ac:dyDescent="0.3">
      <c r="A534" s="12" t="s">
        <v>837</v>
      </c>
      <c r="B534" s="12" t="s">
        <v>617</v>
      </c>
      <c r="C534" s="12" t="s">
        <v>848</v>
      </c>
      <c r="D534" s="12" t="s">
        <v>474</v>
      </c>
      <c r="E534" s="12">
        <v>117</v>
      </c>
      <c r="F534" s="12">
        <v>80</v>
      </c>
      <c r="G534" s="12">
        <v>51</v>
      </c>
    </row>
    <row r="535" spans="1:7" ht="14.4" x14ac:dyDescent="0.3">
      <c r="A535" s="12" t="s">
        <v>837</v>
      </c>
      <c r="B535" s="12" t="s">
        <v>514</v>
      </c>
      <c r="C535" s="12" t="s">
        <v>848</v>
      </c>
      <c r="D535" s="12" t="s">
        <v>591</v>
      </c>
      <c r="E535" s="12">
        <v>34</v>
      </c>
      <c r="F535" s="12">
        <v>24</v>
      </c>
      <c r="G535" s="12"/>
    </row>
    <row r="536" spans="1:7" ht="14.4" x14ac:dyDescent="0.3">
      <c r="A536" s="12" t="s">
        <v>837</v>
      </c>
      <c r="B536" s="12" t="s">
        <v>683</v>
      </c>
      <c r="C536" s="12" t="s">
        <v>848</v>
      </c>
      <c r="D536" s="12" t="s">
        <v>450</v>
      </c>
      <c r="E536" s="12">
        <v>58</v>
      </c>
      <c r="F536" s="12"/>
      <c r="G536" s="12"/>
    </row>
    <row r="537" spans="1:7" ht="14.4" x14ac:dyDescent="0.3">
      <c r="A537" s="12" t="s">
        <v>837</v>
      </c>
      <c r="B537" s="12" t="s">
        <v>512</v>
      </c>
      <c r="C537" s="12" t="s">
        <v>854</v>
      </c>
      <c r="D537" s="12" t="s">
        <v>450</v>
      </c>
      <c r="E537" s="12">
        <v>30</v>
      </c>
      <c r="F537" s="12">
        <v>23</v>
      </c>
      <c r="G537" s="12">
        <v>16</v>
      </c>
    </row>
    <row r="538" spans="1:7" ht="14.4" x14ac:dyDescent="0.3">
      <c r="A538" s="12" t="s">
        <v>837</v>
      </c>
      <c r="B538" s="12" t="s">
        <v>477</v>
      </c>
      <c r="C538" s="12" t="s">
        <v>854</v>
      </c>
      <c r="D538" s="12" t="s">
        <v>450</v>
      </c>
      <c r="E538" s="12">
        <v>48</v>
      </c>
      <c r="F538" s="12">
        <v>35</v>
      </c>
      <c r="G538" s="12"/>
    </row>
    <row r="539" spans="1:7" ht="14.4" x14ac:dyDescent="0.3">
      <c r="A539" s="12" t="s">
        <v>837</v>
      </c>
      <c r="B539" s="12" t="s">
        <v>547</v>
      </c>
      <c r="C539" s="12" t="s">
        <v>854</v>
      </c>
      <c r="D539" s="12" t="s">
        <v>450</v>
      </c>
      <c r="E539" s="12">
        <v>71</v>
      </c>
      <c r="F539" s="12">
        <v>50</v>
      </c>
      <c r="G539" s="12"/>
    </row>
    <row r="540" spans="1:7" ht="14.4" x14ac:dyDescent="0.3">
      <c r="A540" s="12" t="s">
        <v>837</v>
      </c>
      <c r="B540" s="12" t="s">
        <v>475</v>
      </c>
      <c r="C540" s="12" t="s">
        <v>855</v>
      </c>
      <c r="D540" s="12" t="s">
        <v>450</v>
      </c>
      <c r="E540" s="12">
        <v>47</v>
      </c>
      <c r="F540" s="12">
        <v>34</v>
      </c>
      <c r="G540" s="12"/>
    </row>
    <row r="541" spans="1:7" ht="14.4" x14ac:dyDescent="0.3">
      <c r="A541" s="12" t="s">
        <v>837</v>
      </c>
      <c r="B541" s="12" t="s">
        <v>545</v>
      </c>
      <c r="C541" s="12" t="s">
        <v>855</v>
      </c>
      <c r="D541" s="12" t="s">
        <v>450</v>
      </c>
      <c r="E541" s="12">
        <v>70</v>
      </c>
      <c r="F541" s="12">
        <v>49</v>
      </c>
      <c r="G541" s="12"/>
    </row>
    <row r="542" spans="1:7" ht="14.4" x14ac:dyDescent="0.3">
      <c r="A542" s="12" t="s">
        <v>837</v>
      </c>
      <c r="B542" s="12" t="s">
        <v>506</v>
      </c>
      <c r="C542" s="12" t="s">
        <v>855</v>
      </c>
      <c r="D542" s="12" t="s">
        <v>463</v>
      </c>
      <c r="E542" s="12">
        <v>23</v>
      </c>
      <c r="F542" s="12">
        <v>19</v>
      </c>
      <c r="G542" s="12"/>
    </row>
    <row r="543" spans="1:7" ht="14.4" x14ac:dyDescent="0.3">
      <c r="A543" s="12" t="s">
        <v>837</v>
      </c>
      <c r="B543" s="12" t="s">
        <v>593</v>
      </c>
      <c r="C543" s="12" t="s">
        <v>843</v>
      </c>
      <c r="D543" s="12" t="s">
        <v>474</v>
      </c>
      <c r="E543" s="12">
        <v>45</v>
      </c>
      <c r="F543" s="12">
        <v>32</v>
      </c>
      <c r="G543" s="12">
        <v>23</v>
      </c>
    </row>
    <row r="544" spans="1:7" ht="14.4" x14ac:dyDescent="0.3">
      <c r="A544" s="12" t="s">
        <v>837</v>
      </c>
      <c r="B544" s="12" t="s">
        <v>625</v>
      </c>
      <c r="C544" s="12" t="s">
        <v>843</v>
      </c>
      <c r="D544" s="12" t="s">
        <v>474</v>
      </c>
      <c r="E544" s="12">
        <v>144</v>
      </c>
      <c r="F544" s="12">
        <v>100</v>
      </c>
      <c r="G544" s="12"/>
    </row>
    <row r="545" spans="1:7" ht="14.4" x14ac:dyDescent="0.3">
      <c r="A545" s="12" t="s">
        <v>837</v>
      </c>
      <c r="B545" s="12" t="s">
        <v>508</v>
      </c>
      <c r="C545" s="12" t="s">
        <v>843</v>
      </c>
      <c r="D545" s="12" t="s">
        <v>591</v>
      </c>
      <c r="E545" s="12">
        <v>25</v>
      </c>
      <c r="F545" s="12">
        <v>20</v>
      </c>
      <c r="G545" s="12"/>
    </row>
    <row r="546" spans="1:7" ht="14.4" x14ac:dyDescent="0.3">
      <c r="A546" s="12" t="s">
        <v>837</v>
      </c>
      <c r="B546" s="12" t="s">
        <v>640</v>
      </c>
      <c r="C546" s="12" t="s">
        <v>843</v>
      </c>
      <c r="D546" s="12" t="s">
        <v>591</v>
      </c>
      <c r="E546" s="12">
        <v>27</v>
      </c>
      <c r="F546" s="12"/>
      <c r="G546" s="12"/>
    </row>
    <row r="547" spans="1:7" ht="14.4" x14ac:dyDescent="0.3">
      <c r="A547" s="12" t="s">
        <v>837</v>
      </c>
      <c r="B547" s="12" t="s">
        <v>488</v>
      </c>
      <c r="C547" s="12" t="s">
        <v>842</v>
      </c>
      <c r="D547" s="12" t="s">
        <v>474</v>
      </c>
      <c r="E547" s="12">
        <v>44</v>
      </c>
      <c r="F547" s="12">
        <v>31</v>
      </c>
      <c r="G547" s="12">
        <v>22</v>
      </c>
    </row>
    <row r="548" spans="1:7" ht="14.4" x14ac:dyDescent="0.3">
      <c r="A548" s="12" t="s">
        <v>837</v>
      </c>
      <c r="B548" s="12" t="s">
        <v>624</v>
      </c>
      <c r="C548" s="12" t="s">
        <v>842</v>
      </c>
      <c r="D548" s="12" t="s">
        <v>474</v>
      </c>
      <c r="E548" s="12">
        <v>143</v>
      </c>
      <c r="F548" s="12">
        <v>99</v>
      </c>
      <c r="G548" s="12"/>
    </row>
    <row r="549" spans="1:7" ht="14.4" x14ac:dyDescent="0.3">
      <c r="A549" s="12" t="s">
        <v>837</v>
      </c>
      <c r="B549" s="12" t="s">
        <v>506</v>
      </c>
      <c r="C549" s="12" t="s">
        <v>842</v>
      </c>
      <c r="D549" s="12" t="s">
        <v>591</v>
      </c>
      <c r="E549" s="12">
        <v>23</v>
      </c>
      <c r="F549" s="12">
        <v>19</v>
      </c>
      <c r="G549" s="12"/>
    </row>
    <row r="550" spans="1:7" ht="14.4" x14ac:dyDescent="0.3">
      <c r="A550" s="12" t="s">
        <v>837</v>
      </c>
      <c r="B550" s="12" t="s">
        <v>638</v>
      </c>
      <c r="C550" s="12" t="s">
        <v>842</v>
      </c>
      <c r="D550" s="12" t="s">
        <v>476</v>
      </c>
      <c r="E550" s="12">
        <v>26</v>
      </c>
      <c r="F550" s="12"/>
      <c r="G550" s="12"/>
    </row>
    <row r="551" spans="1:7" ht="14.4" x14ac:dyDescent="0.3">
      <c r="A551" s="12" t="s">
        <v>837</v>
      </c>
      <c r="B551" s="12" t="s">
        <v>724</v>
      </c>
      <c r="C551" s="12" t="s">
        <v>841</v>
      </c>
      <c r="D551" s="12" t="s">
        <v>474</v>
      </c>
      <c r="E551" s="12">
        <v>38</v>
      </c>
      <c r="F551" s="12"/>
      <c r="G551" s="12"/>
    </row>
    <row r="552" spans="1:7" ht="14.4" x14ac:dyDescent="0.3">
      <c r="A552" s="12" t="s">
        <v>837</v>
      </c>
      <c r="B552" s="12" t="s">
        <v>607</v>
      </c>
      <c r="C552" s="12" t="s">
        <v>841</v>
      </c>
      <c r="D552" s="12" t="s">
        <v>450</v>
      </c>
      <c r="E552" s="12">
        <v>6</v>
      </c>
      <c r="F552" s="12">
        <v>6</v>
      </c>
      <c r="G552" s="12">
        <v>4</v>
      </c>
    </row>
    <row r="553" spans="1:7" ht="14.4" x14ac:dyDescent="0.3">
      <c r="A553" s="12" t="s">
        <v>837</v>
      </c>
      <c r="B553" s="12" t="s">
        <v>563</v>
      </c>
      <c r="C553" s="12" t="s">
        <v>841</v>
      </c>
      <c r="D553" s="12" t="s">
        <v>450</v>
      </c>
      <c r="E553" s="12">
        <v>101</v>
      </c>
      <c r="F553" s="12">
        <v>70</v>
      </c>
      <c r="G553" s="12">
        <v>45</v>
      </c>
    </row>
    <row r="554" spans="1:7" ht="14.4" x14ac:dyDescent="0.3">
      <c r="A554" s="12" t="s">
        <v>837</v>
      </c>
      <c r="B554" s="12" t="s">
        <v>723</v>
      </c>
      <c r="C554" s="12" t="s">
        <v>840</v>
      </c>
      <c r="D554" s="12" t="s">
        <v>474</v>
      </c>
      <c r="E554" s="12">
        <v>37</v>
      </c>
      <c r="F554" s="12"/>
      <c r="G554" s="12"/>
    </row>
    <row r="555" spans="1:7" ht="14.4" x14ac:dyDescent="0.3">
      <c r="A555" s="12" t="s">
        <v>837</v>
      </c>
      <c r="B555" s="12" t="s">
        <v>481</v>
      </c>
      <c r="C555" s="12" t="s">
        <v>840</v>
      </c>
      <c r="D555" s="12" t="s">
        <v>450</v>
      </c>
      <c r="E555" s="12">
        <v>5</v>
      </c>
      <c r="F555" s="12">
        <v>5</v>
      </c>
      <c r="G555" s="12">
        <v>3</v>
      </c>
    </row>
    <row r="556" spans="1:7" ht="14.4" x14ac:dyDescent="0.3">
      <c r="A556" s="12" t="s">
        <v>837</v>
      </c>
      <c r="B556" s="12" t="s">
        <v>564</v>
      </c>
      <c r="C556" s="12" t="s">
        <v>840</v>
      </c>
      <c r="D556" s="12" t="s">
        <v>450</v>
      </c>
      <c r="E556" s="12">
        <v>102</v>
      </c>
      <c r="F556" s="12">
        <v>71</v>
      </c>
      <c r="G556" s="12">
        <v>46</v>
      </c>
    </row>
    <row r="557" spans="1:7" ht="14.4" x14ac:dyDescent="0.3">
      <c r="A557" s="12" t="s">
        <v>837</v>
      </c>
      <c r="B557" s="12" t="s">
        <v>614</v>
      </c>
      <c r="C557" s="12" t="s">
        <v>845</v>
      </c>
      <c r="D557" s="12" t="s">
        <v>474</v>
      </c>
      <c r="E557" s="12">
        <v>55</v>
      </c>
      <c r="F557" s="12">
        <v>42</v>
      </c>
      <c r="G557" s="12"/>
    </row>
    <row r="558" spans="1:7" ht="14.4" x14ac:dyDescent="0.3">
      <c r="A558" s="12" t="s">
        <v>837</v>
      </c>
      <c r="B558" s="12" t="s">
        <v>539</v>
      </c>
      <c r="C558" s="12" t="s">
        <v>845</v>
      </c>
      <c r="D558" s="12" t="s">
        <v>450</v>
      </c>
      <c r="E558" s="12">
        <v>61</v>
      </c>
      <c r="F558" s="12">
        <v>46</v>
      </c>
      <c r="G558" s="12">
        <v>30</v>
      </c>
    </row>
    <row r="559" spans="1:7" ht="14.4" x14ac:dyDescent="0.3">
      <c r="A559" s="12" t="s">
        <v>837</v>
      </c>
      <c r="B559" s="12" t="s">
        <v>613</v>
      </c>
      <c r="C559" s="12" t="s">
        <v>844</v>
      </c>
      <c r="D559" s="12" t="s">
        <v>474</v>
      </c>
      <c r="E559" s="12">
        <v>54</v>
      </c>
      <c r="F559" s="12">
        <v>41</v>
      </c>
      <c r="G559" s="12"/>
    </row>
    <row r="560" spans="1:7" ht="14.4" x14ac:dyDescent="0.3">
      <c r="A560" s="12" t="s">
        <v>837</v>
      </c>
      <c r="B560" s="12" t="s">
        <v>537</v>
      </c>
      <c r="C560" s="12" t="s">
        <v>844</v>
      </c>
      <c r="D560" s="12" t="s">
        <v>450</v>
      </c>
      <c r="E560" s="12">
        <v>59</v>
      </c>
      <c r="F560" s="12">
        <v>45</v>
      </c>
      <c r="G560" s="12">
        <v>29</v>
      </c>
    </row>
    <row r="561" spans="1:7" ht="14.4" x14ac:dyDescent="0.3">
      <c r="A561" s="12" t="s">
        <v>837</v>
      </c>
      <c r="B561" s="12" t="s">
        <v>571</v>
      </c>
      <c r="C561" s="12" t="s">
        <v>851</v>
      </c>
      <c r="D561" s="12" t="s">
        <v>591</v>
      </c>
      <c r="E561" s="12">
        <v>108</v>
      </c>
      <c r="F561" s="12">
        <v>75</v>
      </c>
      <c r="G561" s="12"/>
    </row>
    <row r="562" spans="1:7" ht="14.4" x14ac:dyDescent="0.3">
      <c r="A562" s="12" t="s">
        <v>837</v>
      </c>
      <c r="B562" s="12" t="s">
        <v>532</v>
      </c>
      <c r="C562" s="12" t="s">
        <v>851</v>
      </c>
      <c r="D562" s="12" t="s">
        <v>450</v>
      </c>
      <c r="E562" s="12">
        <v>53</v>
      </c>
      <c r="F562" s="12">
        <v>40</v>
      </c>
      <c r="G562" s="12">
        <v>26</v>
      </c>
    </row>
    <row r="563" spans="1:7" ht="14.4" x14ac:dyDescent="0.3">
      <c r="A563" s="12" t="s">
        <v>837</v>
      </c>
      <c r="B563" s="12" t="s">
        <v>569</v>
      </c>
      <c r="C563" s="12" t="s">
        <v>850</v>
      </c>
      <c r="D563" s="12" t="s">
        <v>591</v>
      </c>
      <c r="E563" s="12">
        <v>107</v>
      </c>
      <c r="F563" s="12">
        <v>74</v>
      </c>
      <c r="G563" s="12"/>
    </row>
    <row r="564" spans="1:7" ht="14.4" x14ac:dyDescent="0.3">
      <c r="A564" s="12" t="s">
        <v>837</v>
      </c>
      <c r="B564" s="12" t="s">
        <v>531</v>
      </c>
      <c r="C564" s="12" t="s">
        <v>850</v>
      </c>
      <c r="D564" s="12" t="s">
        <v>450</v>
      </c>
      <c r="E564" s="12">
        <v>52</v>
      </c>
      <c r="F564" s="12">
        <v>39</v>
      </c>
      <c r="G564" s="12">
        <v>25</v>
      </c>
    </row>
    <row r="565" spans="1:7" ht="14.4" x14ac:dyDescent="0.3">
      <c r="A565" s="12" t="s">
        <v>491</v>
      </c>
      <c r="B565" s="12" t="s">
        <v>492</v>
      </c>
      <c r="C565" s="12" t="s">
        <v>491</v>
      </c>
      <c r="D565" s="12" t="s">
        <v>476</v>
      </c>
      <c r="E565" s="12">
        <v>83</v>
      </c>
      <c r="F565" s="12">
        <v>57</v>
      </c>
      <c r="G565" s="12">
        <v>37</v>
      </c>
    </row>
    <row r="566" spans="1:7" ht="14.4" x14ac:dyDescent="0.3">
      <c r="A566" s="12" t="s">
        <v>856</v>
      </c>
      <c r="B566" s="12" t="s">
        <v>565</v>
      </c>
      <c r="C566" s="12" t="s">
        <v>858</v>
      </c>
      <c r="D566" s="12" t="s">
        <v>476</v>
      </c>
      <c r="E566" s="12">
        <v>104</v>
      </c>
      <c r="F566" s="12">
        <v>72</v>
      </c>
      <c r="G566" s="12">
        <v>47</v>
      </c>
    </row>
    <row r="567" spans="1:7" ht="14.4" x14ac:dyDescent="0.3">
      <c r="A567" s="12" t="s">
        <v>856</v>
      </c>
      <c r="B567" s="12" t="s">
        <v>581</v>
      </c>
      <c r="C567" s="12" t="s">
        <v>858</v>
      </c>
      <c r="D567" s="12" t="s">
        <v>476</v>
      </c>
      <c r="E567" s="12">
        <v>127</v>
      </c>
      <c r="F567" s="12">
        <v>88</v>
      </c>
      <c r="G567" s="12"/>
    </row>
    <row r="568" spans="1:7" ht="14.4" x14ac:dyDescent="0.3">
      <c r="A568" s="12" t="s">
        <v>856</v>
      </c>
      <c r="B568" s="12" t="s">
        <v>466</v>
      </c>
      <c r="C568" s="12" t="s">
        <v>858</v>
      </c>
      <c r="D568" s="12" t="s">
        <v>450</v>
      </c>
      <c r="E568" s="12">
        <v>140</v>
      </c>
      <c r="F568" s="12">
        <v>96</v>
      </c>
      <c r="G568" s="12">
        <v>62</v>
      </c>
    </row>
    <row r="569" spans="1:7" ht="14.4" x14ac:dyDescent="0.3">
      <c r="A569" s="12" t="s">
        <v>856</v>
      </c>
      <c r="B569" s="12" t="s">
        <v>589</v>
      </c>
      <c r="C569" s="12" t="s">
        <v>858</v>
      </c>
      <c r="D569" s="12" t="s">
        <v>463</v>
      </c>
      <c r="E569" s="12">
        <v>8</v>
      </c>
      <c r="F569" s="12">
        <v>8</v>
      </c>
      <c r="G569" s="12">
        <v>5</v>
      </c>
    </row>
    <row r="570" spans="1:7" ht="14.4" x14ac:dyDescent="0.3">
      <c r="A570" s="12" t="s">
        <v>856</v>
      </c>
      <c r="B570" s="12" t="s">
        <v>555</v>
      </c>
      <c r="C570" s="12" t="s">
        <v>857</v>
      </c>
      <c r="D570" s="12" t="s">
        <v>476</v>
      </c>
      <c r="E570" s="12">
        <v>92</v>
      </c>
      <c r="F570" s="12">
        <v>62</v>
      </c>
      <c r="G570" s="12"/>
    </row>
    <row r="571" spans="1:7" ht="14.4" x14ac:dyDescent="0.3">
      <c r="A571" s="12" t="s">
        <v>856</v>
      </c>
      <c r="B571" s="12" t="s">
        <v>567</v>
      </c>
      <c r="C571" s="12" t="s">
        <v>857</v>
      </c>
      <c r="D571" s="12" t="s">
        <v>476</v>
      </c>
      <c r="E571" s="12">
        <v>105</v>
      </c>
      <c r="F571" s="12">
        <v>73</v>
      </c>
      <c r="G571" s="12">
        <v>48</v>
      </c>
    </row>
    <row r="572" spans="1:7" ht="14.4" x14ac:dyDescent="0.3">
      <c r="A572" s="12" t="s">
        <v>856</v>
      </c>
      <c r="B572" s="12" t="s">
        <v>470</v>
      </c>
      <c r="C572" s="12" t="s">
        <v>857</v>
      </c>
      <c r="D572" s="12" t="s">
        <v>450</v>
      </c>
      <c r="E572" s="12">
        <v>142</v>
      </c>
      <c r="F572" s="12">
        <v>98</v>
      </c>
      <c r="G572" s="12">
        <v>64</v>
      </c>
    </row>
    <row r="573" spans="1:7" ht="14.4" x14ac:dyDescent="0.3">
      <c r="A573" s="12" t="s">
        <v>856</v>
      </c>
      <c r="B573" s="12" t="s">
        <v>472</v>
      </c>
      <c r="C573" s="12" t="s">
        <v>857</v>
      </c>
      <c r="D573" s="12" t="s">
        <v>463</v>
      </c>
      <c r="E573" s="12">
        <v>9</v>
      </c>
      <c r="F573" s="12">
        <v>9</v>
      </c>
      <c r="G573" s="12">
        <v>6</v>
      </c>
    </row>
    <row r="574" spans="1:7" ht="14.4" x14ac:dyDescent="0.3">
      <c r="A574" s="12" t="s">
        <v>859</v>
      </c>
      <c r="B574" s="12" t="s">
        <v>563</v>
      </c>
      <c r="C574" s="12" t="s">
        <v>860</v>
      </c>
      <c r="D574" s="12" t="s">
        <v>463</v>
      </c>
      <c r="E574" s="12">
        <v>101</v>
      </c>
      <c r="F574" s="12">
        <v>70</v>
      </c>
      <c r="G574" s="12">
        <v>45</v>
      </c>
    </row>
    <row r="575" spans="1:7" ht="14.4" x14ac:dyDescent="0.3">
      <c r="A575" s="12" t="s">
        <v>861</v>
      </c>
      <c r="B575" s="12" t="s">
        <v>481</v>
      </c>
      <c r="C575" s="12" t="s">
        <v>862</v>
      </c>
      <c r="D575" s="12" t="s">
        <v>861</v>
      </c>
      <c r="E575" s="12">
        <v>5</v>
      </c>
      <c r="F575" s="12">
        <v>5</v>
      </c>
      <c r="G575" s="12">
        <v>3</v>
      </c>
    </row>
    <row r="576" spans="1:7" ht="14.4" x14ac:dyDescent="0.3">
      <c r="A576" s="12" t="s">
        <v>861</v>
      </c>
      <c r="B576" s="12" t="s">
        <v>607</v>
      </c>
      <c r="C576" s="12" t="s">
        <v>863</v>
      </c>
      <c r="D576" s="12" t="s">
        <v>861</v>
      </c>
      <c r="E576" s="12">
        <v>6</v>
      </c>
      <c r="F576" s="12">
        <v>6</v>
      </c>
      <c r="G576" s="12">
        <v>4</v>
      </c>
    </row>
    <row r="577" spans="1:7" ht="14.4" x14ac:dyDescent="0.3">
      <c r="A577" s="12" t="s">
        <v>861</v>
      </c>
      <c r="B577" s="12" t="s">
        <v>589</v>
      </c>
      <c r="C577" s="12" t="s">
        <v>864</v>
      </c>
      <c r="D577" s="12" t="s">
        <v>861</v>
      </c>
      <c r="E577" s="12">
        <v>8</v>
      </c>
      <c r="F577" s="12">
        <v>8</v>
      </c>
      <c r="G577" s="12">
        <v>5</v>
      </c>
    </row>
    <row r="578" spans="1:7" ht="14.4" x14ac:dyDescent="0.3">
      <c r="A578" s="12" t="s">
        <v>861</v>
      </c>
      <c r="B578" s="12" t="s">
        <v>472</v>
      </c>
      <c r="C578" s="12" t="s">
        <v>865</v>
      </c>
      <c r="D578" s="12" t="s">
        <v>861</v>
      </c>
      <c r="E578" s="12">
        <v>9</v>
      </c>
      <c r="F578" s="12">
        <v>9</v>
      </c>
      <c r="G578" s="12">
        <v>6</v>
      </c>
    </row>
    <row r="579" spans="1:7" ht="14.4" x14ac:dyDescent="0.3">
      <c r="A579" s="12" t="s">
        <v>861</v>
      </c>
      <c r="B579" s="12" t="s">
        <v>504</v>
      </c>
      <c r="C579" s="12" t="s">
        <v>866</v>
      </c>
      <c r="D579" s="12" t="s">
        <v>861</v>
      </c>
      <c r="E579" s="12">
        <v>21</v>
      </c>
      <c r="F579" s="12">
        <v>18</v>
      </c>
      <c r="G579" s="12">
        <v>13</v>
      </c>
    </row>
    <row r="580" spans="1:7" ht="14.4" x14ac:dyDescent="0.3">
      <c r="A580" s="12" t="s">
        <v>861</v>
      </c>
      <c r="B580" s="12" t="s">
        <v>626</v>
      </c>
      <c r="C580" s="12" t="s">
        <v>892</v>
      </c>
      <c r="D580" s="12" t="s">
        <v>861</v>
      </c>
      <c r="E580" s="12">
        <v>137</v>
      </c>
      <c r="F580" s="12">
        <v>93</v>
      </c>
      <c r="G580" s="12">
        <v>59</v>
      </c>
    </row>
    <row r="581" spans="1:7" ht="14.4" x14ac:dyDescent="0.3">
      <c r="A581" s="12" t="s">
        <v>861</v>
      </c>
      <c r="B581" s="12" t="s">
        <v>627</v>
      </c>
      <c r="C581" s="12" t="s">
        <v>893</v>
      </c>
      <c r="D581" s="12" t="s">
        <v>861</v>
      </c>
      <c r="E581" s="12">
        <v>138</v>
      </c>
      <c r="F581" s="12">
        <v>94</v>
      </c>
      <c r="G581" s="12">
        <v>60</v>
      </c>
    </row>
    <row r="582" spans="1:7" ht="14.4" x14ac:dyDescent="0.3">
      <c r="A582" s="12" t="s">
        <v>861</v>
      </c>
      <c r="B582" s="12" t="s">
        <v>512</v>
      </c>
      <c r="C582" s="12" t="s">
        <v>867</v>
      </c>
      <c r="D582" s="12" t="s">
        <v>861</v>
      </c>
      <c r="E582" s="12">
        <v>30</v>
      </c>
      <c r="F582" s="12">
        <v>23</v>
      </c>
      <c r="G582" s="12">
        <v>16</v>
      </c>
    </row>
    <row r="583" spans="1:7" ht="14.4" x14ac:dyDescent="0.3">
      <c r="A583" s="12" t="s">
        <v>861</v>
      </c>
      <c r="B583" s="12" t="s">
        <v>518</v>
      </c>
      <c r="C583" s="12" t="s">
        <v>868</v>
      </c>
      <c r="D583" s="12" t="s">
        <v>861</v>
      </c>
      <c r="E583" s="12">
        <v>39</v>
      </c>
      <c r="F583" s="12">
        <v>26</v>
      </c>
      <c r="G583" s="12">
        <v>17</v>
      </c>
    </row>
    <row r="584" spans="1:7" ht="14.4" x14ac:dyDescent="0.3">
      <c r="A584" s="12" t="s">
        <v>861</v>
      </c>
      <c r="B584" s="12" t="s">
        <v>524</v>
      </c>
      <c r="C584" s="12" t="s">
        <v>869</v>
      </c>
      <c r="D584" s="12" t="s">
        <v>861</v>
      </c>
      <c r="E584" s="12">
        <v>42</v>
      </c>
      <c r="F584" s="12">
        <v>29</v>
      </c>
      <c r="G584" s="12">
        <v>20</v>
      </c>
    </row>
    <row r="585" spans="1:7" ht="14.4" x14ac:dyDescent="0.3">
      <c r="A585" s="12" t="s">
        <v>861</v>
      </c>
      <c r="B585" s="12" t="s">
        <v>486</v>
      </c>
      <c r="C585" s="12" t="s">
        <v>870</v>
      </c>
      <c r="D585" s="12" t="s">
        <v>861</v>
      </c>
      <c r="E585" s="12">
        <v>43</v>
      </c>
      <c r="F585" s="12">
        <v>30</v>
      </c>
      <c r="G585" s="12">
        <v>21</v>
      </c>
    </row>
    <row r="586" spans="1:7" ht="14.4" x14ac:dyDescent="0.3">
      <c r="A586" s="12" t="s">
        <v>861</v>
      </c>
      <c r="B586" s="12" t="s">
        <v>526</v>
      </c>
      <c r="C586" s="12" t="s">
        <v>871</v>
      </c>
      <c r="D586" s="12" t="s">
        <v>861</v>
      </c>
      <c r="E586" s="12">
        <v>46</v>
      </c>
      <c r="F586" s="12">
        <v>33</v>
      </c>
      <c r="G586" s="12">
        <v>24</v>
      </c>
    </row>
    <row r="587" spans="1:7" ht="14.4" x14ac:dyDescent="0.3">
      <c r="A587" s="12" t="s">
        <v>861</v>
      </c>
      <c r="B587" s="12" t="s">
        <v>531</v>
      </c>
      <c r="C587" s="12" t="s">
        <v>872</v>
      </c>
      <c r="D587" s="12" t="s">
        <v>861</v>
      </c>
      <c r="E587" s="12">
        <v>52</v>
      </c>
      <c r="F587" s="12">
        <v>39</v>
      </c>
      <c r="G587" s="12">
        <v>25</v>
      </c>
    </row>
    <row r="588" spans="1:7" ht="14.4" x14ac:dyDescent="0.3">
      <c r="A588" s="12" t="s">
        <v>861</v>
      </c>
      <c r="B588" s="12" t="s">
        <v>532</v>
      </c>
      <c r="C588" s="12" t="s">
        <v>873</v>
      </c>
      <c r="D588" s="12" t="s">
        <v>861</v>
      </c>
      <c r="E588" s="12">
        <v>53</v>
      </c>
      <c r="F588" s="12">
        <v>40</v>
      </c>
      <c r="G588" s="12">
        <v>26</v>
      </c>
    </row>
    <row r="589" spans="1:7" ht="14.4" x14ac:dyDescent="0.3">
      <c r="A589" s="12" t="s">
        <v>861</v>
      </c>
      <c r="B589" s="12" t="s">
        <v>537</v>
      </c>
      <c r="C589" s="12" t="s">
        <v>874</v>
      </c>
      <c r="D589" s="12" t="s">
        <v>861</v>
      </c>
      <c r="E589" s="12">
        <v>59</v>
      </c>
      <c r="F589" s="12">
        <v>45</v>
      </c>
      <c r="G589" s="12">
        <v>29</v>
      </c>
    </row>
    <row r="590" spans="1:7" ht="14.4" x14ac:dyDescent="0.3">
      <c r="A590" s="12" t="s">
        <v>861</v>
      </c>
      <c r="B590" s="12" t="s">
        <v>539</v>
      </c>
      <c r="C590" s="12" t="s">
        <v>875</v>
      </c>
      <c r="D590" s="12" t="s">
        <v>861</v>
      </c>
      <c r="E590" s="12">
        <v>61</v>
      </c>
      <c r="F590" s="12">
        <v>46</v>
      </c>
      <c r="G590" s="12">
        <v>30</v>
      </c>
    </row>
    <row r="591" spans="1:7" ht="14.4" x14ac:dyDescent="0.3">
      <c r="A591" s="12" t="s">
        <v>861</v>
      </c>
      <c r="B591" s="12" t="s">
        <v>665</v>
      </c>
      <c r="C591" s="12" t="s">
        <v>876</v>
      </c>
      <c r="D591" s="12" t="s">
        <v>861</v>
      </c>
      <c r="E591" s="12">
        <v>77</v>
      </c>
      <c r="F591" s="12">
        <v>53</v>
      </c>
      <c r="G591" s="12">
        <v>33</v>
      </c>
    </row>
    <row r="592" spans="1:7" ht="14.4" x14ac:dyDescent="0.3">
      <c r="A592" s="12" t="s">
        <v>861</v>
      </c>
      <c r="B592" s="12" t="s">
        <v>666</v>
      </c>
      <c r="C592" s="12" t="s">
        <v>877</v>
      </c>
      <c r="D592" s="12" t="s">
        <v>861</v>
      </c>
      <c r="E592" s="12">
        <v>78</v>
      </c>
      <c r="F592" s="12">
        <v>54</v>
      </c>
      <c r="G592" s="12">
        <v>34</v>
      </c>
    </row>
    <row r="593" spans="1:7" ht="14.4" x14ac:dyDescent="0.3">
      <c r="A593" s="12" t="s">
        <v>861</v>
      </c>
      <c r="B593" s="12" t="s">
        <v>492</v>
      </c>
      <c r="C593" s="12" t="s">
        <v>878</v>
      </c>
      <c r="D593" s="12" t="s">
        <v>861</v>
      </c>
      <c r="E593" s="12">
        <v>83</v>
      </c>
      <c r="F593" s="12">
        <v>57</v>
      </c>
      <c r="G593" s="12">
        <v>37</v>
      </c>
    </row>
    <row r="594" spans="1:7" ht="14.4" x14ac:dyDescent="0.3">
      <c r="A594" s="12" t="s">
        <v>861</v>
      </c>
      <c r="B594" s="12" t="s">
        <v>553</v>
      </c>
      <c r="C594" s="12" t="s">
        <v>879</v>
      </c>
      <c r="D594" s="12" t="s">
        <v>861</v>
      </c>
      <c r="E594" s="12">
        <v>85</v>
      </c>
      <c r="F594" s="12">
        <v>58</v>
      </c>
      <c r="G594" s="12">
        <v>38</v>
      </c>
    </row>
    <row r="595" spans="1:7" ht="14.4" x14ac:dyDescent="0.3">
      <c r="A595" s="12" t="s">
        <v>861</v>
      </c>
      <c r="B595" s="12" t="s">
        <v>560</v>
      </c>
      <c r="C595" s="12" t="s">
        <v>880</v>
      </c>
      <c r="D595" s="12" t="s">
        <v>861</v>
      </c>
      <c r="E595" s="12">
        <v>97</v>
      </c>
      <c r="F595" s="12">
        <v>67</v>
      </c>
      <c r="G595" s="12">
        <v>42</v>
      </c>
    </row>
    <row r="596" spans="1:7" ht="14.4" x14ac:dyDescent="0.3">
      <c r="A596" s="12" t="s">
        <v>861</v>
      </c>
      <c r="B596" s="12" t="s">
        <v>561</v>
      </c>
      <c r="C596" s="12" t="s">
        <v>881</v>
      </c>
      <c r="D596" s="12" t="s">
        <v>861</v>
      </c>
      <c r="E596" s="12">
        <v>98</v>
      </c>
      <c r="F596" s="12">
        <v>68</v>
      </c>
      <c r="G596" s="12">
        <v>43</v>
      </c>
    </row>
    <row r="597" spans="1:7" ht="14.4" x14ac:dyDescent="0.3">
      <c r="A597" s="12" t="s">
        <v>861</v>
      </c>
      <c r="B597" s="12" t="s">
        <v>563</v>
      </c>
      <c r="C597" s="12" t="s">
        <v>882</v>
      </c>
      <c r="D597" s="12" t="s">
        <v>861</v>
      </c>
      <c r="E597" s="12">
        <v>101</v>
      </c>
      <c r="F597" s="12">
        <v>70</v>
      </c>
      <c r="G597" s="12">
        <v>45</v>
      </c>
    </row>
    <row r="598" spans="1:7" ht="14.4" x14ac:dyDescent="0.3">
      <c r="A598" s="12" t="s">
        <v>861</v>
      </c>
      <c r="B598" s="12" t="s">
        <v>564</v>
      </c>
      <c r="C598" s="12" t="s">
        <v>883</v>
      </c>
      <c r="D598" s="12" t="s">
        <v>861</v>
      </c>
      <c r="E598" s="12">
        <v>102</v>
      </c>
      <c r="F598" s="12">
        <v>71</v>
      </c>
      <c r="G598" s="12">
        <v>46</v>
      </c>
    </row>
    <row r="599" spans="1:7" ht="14.4" x14ac:dyDescent="0.3">
      <c r="A599" s="12" t="s">
        <v>861</v>
      </c>
      <c r="B599" s="12" t="s">
        <v>565</v>
      </c>
      <c r="C599" s="12" t="s">
        <v>884</v>
      </c>
      <c r="D599" s="12" t="s">
        <v>861</v>
      </c>
      <c r="E599" s="12">
        <v>104</v>
      </c>
      <c r="F599" s="12">
        <v>72</v>
      </c>
      <c r="G599" s="12">
        <v>47</v>
      </c>
    </row>
    <row r="600" spans="1:7" ht="14.4" x14ac:dyDescent="0.3">
      <c r="A600" s="12" t="s">
        <v>861</v>
      </c>
      <c r="B600" s="12" t="s">
        <v>567</v>
      </c>
      <c r="C600" s="12" t="s">
        <v>885</v>
      </c>
      <c r="D600" s="12" t="s">
        <v>861</v>
      </c>
      <c r="E600" s="12">
        <v>105</v>
      </c>
      <c r="F600" s="12">
        <v>73</v>
      </c>
      <c r="G600" s="12">
        <v>48</v>
      </c>
    </row>
    <row r="601" spans="1:7" ht="14.4" x14ac:dyDescent="0.3">
      <c r="A601" s="12" t="s">
        <v>861</v>
      </c>
      <c r="B601" s="12" t="s">
        <v>617</v>
      </c>
      <c r="C601" s="12" t="s">
        <v>886</v>
      </c>
      <c r="D601" s="12" t="s">
        <v>861</v>
      </c>
      <c r="E601" s="12">
        <v>117</v>
      </c>
      <c r="F601" s="12">
        <v>80</v>
      </c>
      <c r="G601" s="12">
        <v>51</v>
      </c>
    </row>
    <row r="602" spans="1:7" ht="14.4" x14ac:dyDescent="0.3">
      <c r="A602" s="12" t="s">
        <v>861</v>
      </c>
      <c r="B602" s="12" t="s">
        <v>618</v>
      </c>
      <c r="C602" s="12" t="s">
        <v>887</v>
      </c>
      <c r="D602" s="12" t="s">
        <v>861</v>
      </c>
      <c r="E602" s="12">
        <v>118</v>
      </c>
      <c r="F602" s="12">
        <v>81</v>
      </c>
      <c r="G602" s="12">
        <v>52</v>
      </c>
    </row>
    <row r="603" spans="1:7" ht="14.4" x14ac:dyDescent="0.3">
      <c r="A603" s="12" t="s">
        <v>861</v>
      </c>
      <c r="B603" s="12" t="s">
        <v>489</v>
      </c>
      <c r="C603" s="12" t="s">
        <v>888</v>
      </c>
      <c r="D603" s="12" t="s">
        <v>861</v>
      </c>
      <c r="E603" s="12">
        <v>121</v>
      </c>
      <c r="F603" s="12">
        <v>84</v>
      </c>
      <c r="G603" s="12">
        <v>53</v>
      </c>
    </row>
    <row r="604" spans="1:7" ht="14.4" x14ac:dyDescent="0.3">
      <c r="A604" s="12" t="s">
        <v>861</v>
      </c>
      <c r="B604" s="12" t="s">
        <v>490</v>
      </c>
      <c r="C604" s="12" t="s">
        <v>889</v>
      </c>
      <c r="D604" s="12" t="s">
        <v>861</v>
      </c>
      <c r="E604" s="12">
        <v>122</v>
      </c>
      <c r="F604" s="12">
        <v>85</v>
      </c>
      <c r="G604" s="12">
        <v>54</v>
      </c>
    </row>
    <row r="605" spans="1:7" ht="14.4" x14ac:dyDescent="0.3">
      <c r="A605" s="12" t="s">
        <v>861</v>
      </c>
      <c r="B605" s="12" t="s">
        <v>582</v>
      </c>
      <c r="C605" s="12" t="s">
        <v>890</v>
      </c>
      <c r="D605" s="12" t="s">
        <v>861</v>
      </c>
      <c r="E605" s="12">
        <v>130</v>
      </c>
      <c r="F605" s="12">
        <v>89</v>
      </c>
      <c r="G605" s="12">
        <v>55</v>
      </c>
    </row>
    <row r="606" spans="1:7" ht="14.4" x14ac:dyDescent="0.3">
      <c r="A606" s="12" t="s">
        <v>861</v>
      </c>
      <c r="B606" s="12" t="s">
        <v>584</v>
      </c>
      <c r="C606" s="12" t="s">
        <v>891</v>
      </c>
      <c r="D606" s="12" t="s">
        <v>861</v>
      </c>
      <c r="E606" s="12">
        <v>134</v>
      </c>
      <c r="F606" s="12">
        <v>90</v>
      </c>
      <c r="G606" s="12">
        <v>56</v>
      </c>
    </row>
  </sheetData>
  <autoFilter ref="A1:G606" xr:uid="{90B64583-9747-4C1B-9AAF-85FC5B1EFD95}"/>
  <sortState xmlns:xlrd2="http://schemas.microsoft.com/office/spreadsheetml/2017/richdata2" ref="A566:G573">
    <sortCondition ref="C566:C573"/>
  </sortState>
  <phoneticPr fontId="10" type="noConversion"/>
  <conditionalFormatting sqref="A1:G606">
    <cfRule type="containsBlanks" dxfId="0" priority="1">
      <formula>LEN(TRIM(A1))=0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zoomScale="190" zoomScaleNormal="190" workbookViewId="0">
      <selection activeCell="F4" sqref="F4"/>
    </sheetView>
  </sheetViews>
  <sheetFormatPr defaultColWidth="8.77734375" defaultRowHeight="14.4" x14ac:dyDescent="0.3"/>
  <cols>
    <col min="2" max="2" width="12.77734375" customWidth="1"/>
    <col min="3" max="3" width="60" customWidth="1"/>
  </cols>
  <sheetData>
    <row r="1" spans="1:3" x14ac:dyDescent="0.3">
      <c r="A1" s="1" t="s">
        <v>433</v>
      </c>
      <c r="B1" s="1" t="s">
        <v>434</v>
      </c>
      <c r="C1" s="1" t="s">
        <v>435</v>
      </c>
    </row>
    <row r="2" spans="1:3" x14ac:dyDescent="0.3">
      <c r="A2" s="1" t="s">
        <v>436</v>
      </c>
      <c r="B2" s="1" t="s">
        <v>437</v>
      </c>
      <c r="C2" s="2" t="s">
        <v>438</v>
      </c>
    </row>
    <row r="3" spans="1:3" x14ac:dyDescent="0.3">
      <c r="A3" s="1" t="s">
        <v>439</v>
      </c>
      <c r="B3" s="1" t="s">
        <v>437</v>
      </c>
      <c r="C3" s="2" t="s">
        <v>440</v>
      </c>
    </row>
    <row r="4" spans="1:3" ht="28.8" x14ac:dyDescent="0.3">
      <c r="A4" s="18" t="s">
        <v>449</v>
      </c>
      <c r="B4" s="1" t="s">
        <v>437</v>
      </c>
      <c r="C4" s="19" t="s">
        <v>901</v>
      </c>
    </row>
    <row r="5" spans="1:3" x14ac:dyDescent="0.3">
      <c r="A5" s="3"/>
      <c r="B5" s="3"/>
      <c r="C5" s="4"/>
    </row>
    <row r="6" spans="1:3" x14ac:dyDescent="0.3">
      <c r="A6" s="3"/>
      <c r="B6" s="3"/>
      <c r="C6" s="4"/>
    </row>
    <row r="7" spans="1:3" x14ac:dyDescent="0.3">
      <c r="A7" s="3"/>
      <c r="B7" s="3"/>
      <c r="C7" s="4"/>
    </row>
    <row r="8" spans="1:3" x14ac:dyDescent="0.3">
      <c r="A8" s="3"/>
      <c r="B8" s="3"/>
      <c r="C8" s="5"/>
    </row>
    <row r="9" spans="1:3" x14ac:dyDescent="0.3">
      <c r="A9" s="3"/>
      <c r="B9" s="3"/>
      <c r="C9" s="5"/>
    </row>
    <row r="10" spans="1:3" x14ac:dyDescent="0.3">
      <c r="B10" s="3"/>
      <c r="C10" s="5"/>
    </row>
    <row r="11" spans="1:3" x14ac:dyDescent="0.3">
      <c r="A11" s="3"/>
      <c r="B11" s="3"/>
      <c r="C11" s="4"/>
    </row>
    <row r="12" spans="1:3" x14ac:dyDescent="0.3">
      <c r="B12" s="3"/>
      <c r="C12" s="4"/>
    </row>
    <row r="13" spans="1:3" x14ac:dyDescent="0.3">
      <c r="A13" s="3"/>
      <c r="B13" s="3"/>
      <c r="C13" s="4"/>
    </row>
    <row r="14" spans="1:3" x14ac:dyDescent="0.3">
      <c r="B14" s="3"/>
      <c r="C14" s="4"/>
    </row>
    <row r="15" spans="1:3" x14ac:dyDescent="0.3">
      <c r="B15" s="3"/>
      <c r="C15" s="4"/>
    </row>
    <row r="16" spans="1:3" x14ac:dyDescent="0.3">
      <c r="B16" s="3"/>
      <c r="C16" s="4"/>
    </row>
    <row r="17" spans="1:3" x14ac:dyDescent="0.3">
      <c r="A17" s="6"/>
      <c r="B17" s="3"/>
      <c r="C17" s="5"/>
    </row>
    <row r="18" spans="1:3" x14ac:dyDescent="0.3">
      <c r="A18" s="6"/>
      <c r="B18" s="3"/>
      <c r="C18" s="4"/>
    </row>
    <row r="19" spans="1:3" x14ac:dyDescent="0.3">
      <c r="A19" s="6"/>
      <c r="B19" s="3"/>
      <c r="C19" s="4"/>
    </row>
    <row r="20" spans="1:3" x14ac:dyDescent="0.3">
      <c r="B20" s="3"/>
      <c r="C20" s="4"/>
    </row>
    <row r="21" spans="1:3" x14ac:dyDescent="0.3">
      <c r="A21" s="6"/>
      <c r="B21" s="3"/>
      <c r="C21" s="4"/>
    </row>
    <row r="22" spans="1:3" x14ac:dyDescent="0.3">
      <c r="A22" s="6"/>
      <c r="B22" s="3"/>
      <c r="C22" s="4"/>
    </row>
    <row r="23" spans="1:3" x14ac:dyDescent="0.3">
      <c r="A23" s="6"/>
      <c r="B23" s="3"/>
      <c r="C23" s="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IOMUX</vt:lpstr>
      <vt:lpstr>Peripheral-associated PINs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Major Lin</dc:creator>
  <cp:lastModifiedBy>jialu feng</cp:lastModifiedBy>
  <dcterms:created xsi:type="dcterms:W3CDTF">2020-01-14T19:21:00Z</dcterms:created>
  <dcterms:modified xsi:type="dcterms:W3CDTF">2026-03-05T02:41:36Z</dcterms:modified>
  <cp:category>Spider XLSX Export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EE108B80CF11CDA6E3FAA8657AD59F45_43</vt:lpwstr>
  </property>
  <property fmtid="{D5CDD505-2E9C-101B-9397-08002B2CF9AE}" pid="3" name="KSOProductBuildVer">
    <vt:lpwstr>2052-7.3.1.8967</vt:lpwstr>
  </property>
</Properties>
</file>